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E:\study\bioinformatics\bbkcourse\Project\work\d2025-08-26\"/>
    </mc:Choice>
  </mc:AlternateContent>
  <xr:revisionPtr revIDLastSave="0" documentId="13_ncr:1_{1DDDB2D7-A2F4-47CF-9510-C929D262AB77}" xr6:coauthVersionLast="47" xr6:coauthVersionMax="47" xr10:uidLastSave="{00000000-0000-0000-0000-000000000000}"/>
  <bookViews>
    <workbookView xWindow="255" yWindow="120" windowWidth="37125" windowHeight="17085" xr2:uid="{00000000-000D-0000-FFFF-FFFF00000000}"/>
  </bookViews>
  <sheets>
    <sheet name="akg trackin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82" i="1" l="1"/>
  <c r="U83" i="1"/>
  <c r="T86" i="1"/>
  <c r="U86" i="1"/>
  <c r="V86" i="1"/>
  <c r="W86" i="1"/>
  <c r="T87" i="1"/>
  <c r="U87" i="1"/>
  <c r="U84" i="1" s="1"/>
  <c r="V87" i="1"/>
  <c r="V84" i="1" s="1"/>
  <c r="W87" i="1"/>
  <c r="T88" i="1"/>
  <c r="U88" i="1"/>
  <c r="V88" i="1"/>
  <c r="W88" i="1"/>
  <c r="T89" i="1"/>
  <c r="U89" i="1"/>
  <c r="V89" i="1"/>
  <c r="W89" i="1"/>
  <c r="T90" i="1"/>
  <c r="U90" i="1"/>
  <c r="V90" i="1"/>
  <c r="W90" i="1"/>
  <c r="T91" i="1"/>
  <c r="U91" i="1"/>
  <c r="V91" i="1"/>
  <c r="W91" i="1"/>
  <c r="T92" i="1"/>
  <c r="U92" i="1"/>
  <c r="V92" i="1"/>
  <c r="W92" i="1"/>
  <c r="T93" i="1"/>
  <c r="U93" i="1"/>
  <c r="V93" i="1"/>
  <c r="W93" i="1"/>
  <c r="T94" i="1"/>
  <c r="U94" i="1"/>
  <c r="V94" i="1"/>
  <c r="W94" i="1"/>
  <c r="T95" i="1"/>
  <c r="U95" i="1"/>
  <c r="V95" i="1"/>
  <c r="W95" i="1"/>
  <c r="T96" i="1"/>
  <c r="U96" i="1"/>
  <c r="V96" i="1"/>
  <c r="W96" i="1"/>
  <c r="T97" i="1"/>
  <c r="U97" i="1"/>
  <c r="V97" i="1"/>
  <c r="W97" i="1"/>
  <c r="T98" i="1"/>
  <c r="U98" i="1"/>
  <c r="V98" i="1"/>
  <c r="W98" i="1"/>
  <c r="T99" i="1"/>
  <c r="U99" i="1"/>
  <c r="V99" i="1"/>
  <c r="W99" i="1"/>
  <c r="T100" i="1"/>
  <c r="U100" i="1"/>
  <c r="V100" i="1"/>
  <c r="W100" i="1"/>
  <c r="T101" i="1"/>
  <c r="U101" i="1"/>
  <c r="V101" i="1"/>
  <c r="W101" i="1"/>
  <c r="T102" i="1"/>
  <c r="U102" i="1"/>
  <c r="V102" i="1"/>
  <c r="W102" i="1"/>
  <c r="T103" i="1"/>
  <c r="U103" i="1"/>
  <c r="V103" i="1"/>
  <c r="W103" i="1"/>
  <c r="T104" i="1"/>
  <c r="U104" i="1"/>
  <c r="V104" i="1"/>
  <c r="W104" i="1"/>
  <c r="T105" i="1"/>
  <c r="U105" i="1"/>
  <c r="V105" i="1"/>
  <c r="W105" i="1"/>
  <c r="T106" i="1"/>
  <c r="U106" i="1"/>
  <c r="V106" i="1"/>
  <c r="W106" i="1"/>
  <c r="T107" i="1"/>
  <c r="U107" i="1"/>
  <c r="V107" i="1"/>
  <c r="W107" i="1"/>
  <c r="T108" i="1"/>
  <c r="U108" i="1"/>
  <c r="V108" i="1"/>
  <c r="W108" i="1"/>
  <c r="T109" i="1"/>
  <c r="U109" i="1"/>
  <c r="V109" i="1"/>
  <c r="W109" i="1"/>
  <c r="T110" i="1"/>
  <c r="U110" i="1"/>
  <c r="V110" i="1"/>
  <c r="W110" i="1"/>
  <c r="T111" i="1"/>
  <c r="U111" i="1"/>
  <c r="V111" i="1"/>
  <c r="W111" i="1"/>
  <c r="T112" i="1"/>
  <c r="U112" i="1"/>
  <c r="V112" i="1"/>
  <c r="W112" i="1"/>
  <c r="T113" i="1"/>
  <c r="U113" i="1"/>
  <c r="V113" i="1"/>
  <c r="W113" i="1"/>
  <c r="T114" i="1"/>
  <c r="U114" i="1"/>
  <c r="V114" i="1"/>
  <c r="W114" i="1"/>
  <c r="T115" i="1"/>
  <c r="U115" i="1"/>
  <c r="V115" i="1"/>
  <c r="W115" i="1"/>
  <c r="T116" i="1"/>
  <c r="U116" i="1"/>
  <c r="V116" i="1"/>
  <c r="W116" i="1"/>
  <c r="T117" i="1"/>
  <c r="U117" i="1"/>
  <c r="V117" i="1"/>
  <c r="W117" i="1"/>
  <c r="T118" i="1"/>
  <c r="U118" i="1"/>
  <c r="V118" i="1"/>
  <c r="W118" i="1"/>
  <c r="T119" i="1"/>
  <c r="U119" i="1"/>
  <c r="V119" i="1"/>
  <c r="W119" i="1"/>
  <c r="T120" i="1"/>
  <c r="U120" i="1"/>
  <c r="V120" i="1"/>
  <c r="W120" i="1"/>
  <c r="T121" i="1"/>
  <c r="U121" i="1"/>
  <c r="V121" i="1"/>
  <c r="W121" i="1"/>
  <c r="T122" i="1"/>
  <c r="U122" i="1"/>
  <c r="V122" i="1"/>
  <c r="W122" i="1"/>
  <c r="T123" i="1"/>
  <c r="U123" i="1"/>
  <c r="V123" i="1"/>
  <c r="W123" i="1"/>
  <c r="T124" i="1"/>
  <c r="U124" i="1"/>
  <c r="V124" i="1"/>
  <c r="W124" i="1"/>
  <c r="T125" i="1"/>
  <c r="U125" i="1"/>
  <c r="V125" i="1"/>
  <c r="W125" i="1"/>
  <c r="T126" i="1"/>
  <c r="U126" i="1"/>
  <c r="V126" i="1"/>
  <c r="W126" i="1"/>
  <c r="T127" i="1"/>
  <c r="U127" i="1"/>
  <c r="V127" i="1"/>
  <c r="W127" i="1"/>
  <c r="T128" i="1"/>
  <c r="U128" i="1"/>
  <c r="V128" i="1"/>
  <c r="W128" i="1"/>
  <c r="T129" i="1"/>
  <c r="U129" i="1"/>
  <c r="V129" i="1"/>
  <c r="W129" i="1"/>
  <c r="T130" i="1"/>
  <c r="U130" i="1"/>
  <c r="V130" i="1"/>
  <c r="W130" i="1"/>
  <c r="T131" i="1"/>
  <c r="U131" i="1"/>
  <c r="V131" i="1"/>
  <c r="W131" i="1"/>
  <c r="T132" i="1"/>
  <c r="U132" i="1"/>
  <c r="V132" i="1"/>
  <c r="W132" i="1"/>
  <c r="T133" i="1"/>
  <c r="U133" i="1"/>
  <c r="V133" i="1"/>
  <c r="W133" i="1"/>
  <c r="T134" i="1"/>
  <c r="U134" i="1"/>
  <c r="V134" i="1"/>
  <c r="W134" i="1"/>
  <c r="T135" i="1"/>
  <c r="U135" i="1"/>
  <c r="V135" i="1"/>
  <c r="W135" i="1"/>
  <c r="T136" i="1"/>
  <c r="U136" i="1"/>
  <c r="V136" i="1"/>
  <c r="W136" i="1"/>
  <c r="T137" i="1"/>
  <c r="U137" i="1"/>
  <c r="V137" i="1"/>
  <c r="W137" i="1"/>
  <c r="T138" i="1"/>
  <c r="U138" i="1"/>
  <c r="V138" i="1"/>
  <c r="W138" i="1"/>
  <c r="T139" i="1"/>
  <c r="U139" i="1"/>
  <c r="V139" i="1"/>
  <c r="W139" i="1"/>
  <c r="T140" i="1"/>
  <c r="U140" i="1"/>
  <c r="V140" i="1"/>
  <c r="W140" i="1"/>
  <c r="T141" i="1"/>
  <c r="U141" i="1"/>
  <c r="V141" i="1"/>
  <c r="W141" i="1"/>
  <c r="T142" i="1"/>
  <c r="U142" i="1"/>
  <c r="V142" i="1"/>
  <c r="W142" i="1"/>
  <c r="T143" i="1"/>
  <c r="U143" i="1"/>
  <c r="V143" i="1"/>
  <c r="W143" i="1"/>
  <c r="T144" i="1"/>
  <c r="U144" i="1"/>
  <c r="V144" i="1"/>
  <c r="W144" i="1"/>
  <c r="T145" i="1"/>
  <c r="U145" i="1"/>
  <c r="V145" i="1"/>
  <c r="W145" i="1"/>
  <c r="T146" i="1"/>
  <c r="U146" i="1"/>
  <c r="V146" i="1"/>
  <c r="W146" i="1"/>
  <c r="T147" i="1"/>
  <c r="U147" i="1"/>
  <c r="V147" i="1"/>
  <c r="W147" i="1"/>
  <c r="T148" i="1"/>
  <c r="U148" i="1"/>
  <c r="V148" i="1"/>
  <c r="W148" i="1"/>
  <c r="T149" i="1"/>
  <c r="U149" i="1"/>
  <c r="V149" i="1"/>
  <c r="W149" i="1"/>
  <c r="T150" i="1"/>
  <c r="U150" i="1"/>
  <c r="V150" i="1"/>
  <c r="W150" i="1"/>
  <c r="T151" i="1"/>
  <c r="U151" i="1"/>
  <c r="V151" i="1"/>
  <c r="W151" i="1"/>
  <c r="T152" i="1"/>
  <c r="U152" i="1"/>
  <c r="V152" i="1"/>
  <c r="W152" i="1"/>
  <c r="T153" i="1"/>
  <c r="U153" i="1"/>
  <c r="V153" i="1"/>
  <c r="W153" i="1"/>
  <c r="T154" i="1"/>
  <c r="U154" i="1"/>
  <c r="V154" i="1"/>
  <c r="W154" i="1"/>
  <c r="T155" i="1"/>
  <c r="U155" i="1"/>
  <c r="V155" i="1"/>
  <c r="W155" i="1"/>
  <c r="T156" i="1"/>
  <c r="U156" i="1"/>
  <c r="V156" i="1"/>
  <c r="W156" i="1"/>
  <c r="T157" i="1"/>
  <c r="U157" i="1"/>
  <c r="V157" i="1"/>
  <c r="W157" i="1"/>
  <c r="T158" i="1"/>
  <c r="U158" i="1"/>
  <c r="V158" i="1"/>
  <c r="W158" i="1"/>
  <c r="T159" i="1"/>
  <c r="U159" i="1"/>
  <c r="V159" i="1"/>
  <c r="W159" i="1"/>
  <c r="T160" i="1"/>
  <c r="U160" i="1"/>
  <c r="V160" i="1"/>
  <c r="W160" i="1"/>
  <c r="T161" i="1"/>
  <c r="U161" i="1"/>
  <c r="V161" i="1"/>
  <c r="W161" i="1"/>
  <c r="T162" i="1"/>
  <c r="U162" i="1"/>
  <c r="V162" i="1"/>
  <c r="W162" i="1"/>
  <c r="T163" i="1"/>
  <c r="U163" i="1"/>
  <c r="V163" i="1"/>
  <c r="W163" i="1"/>
  <c r="T164" i="1"/>
  <c r="U164" i="1"/>
  <c r="V164" i="1"/>
  <c r="W164" i="1"/>
  <c r="T165" i="1"/>
  <c r="U165" i="1"/>
  <c r="V165" i="1"/>
  <c r="W165" i="1"/>
  <c r="T166" i="1"/>
  <c r="U166" i="1"/>
  <c r="V166" i="1"/>
  <c r="W166" i="1"/>
  <c r="T167" i="1"/>
  <c r="U167" i="1"/>
  <c r="V167" i="1"/>
  <c r="W167" i="1"/>
  <c r="T168" i="1"/>
  <c r="U168" i="1"/>
  <c r="V168" i="1"/>
  <c r="W168" i="1"/>
  <c r="T169" i="1"/>
  <c r="U169" i="1"/>
  <c r="V169" i="1"/>
  <c r="W169" i="1"/>
  <c r="T170" i="1"/>
  <c r="U170" i="1"/>
  <c r="V170" i="1"/>
  <c r="W170" i="1"/>
  <c r="T171" i="1"/>
  <c r="U171" i="1"/>
  <c r="V171" i="1"/>
  <c r="W171" i="1"/>
  <c r="T172" i="1"/>
  <c r="U172" i="1"/>
  <c r="V172" i="1"/>
  <c r="W172" i="1"/>
  <c r="T173" i="1"/>
  <c r="U173" i="1"/>
  <c r="V173" i="1"/>
  <c r="W173" i="1"/>
  <c r="T174" i="1"/>
  <c r="U174" i="1"/>
  <c r="V174" i="1"/>
  <c r="W174" i="1"/>
  <c r="T175" i="1"/>
  <c r="U175" i="1"/>
  <c r="V175" i="1"/>
  <c r="W175" i="1"/>
  <c r="T176" i="1"/>
  <c r="U176" i="1"/>
  <c r="V176" i="1"/>
  <c r="W176" i="1"/>
  <c r="T177" i="1"/>
  <c r="U177" i="1"/>
  <c r="V177" i="1"/>
  <c r="W177" i="1"/>
  <c r="T178" i="1"/>
  <c r="U178" i="1"/>
  <c r="V178" i="1"/>
  <c r="W178" i="1"/>
  <c r="T179" i="1"/>
  <c r="U179" i="1"/>
  <c r="V179" i="1"/>
  <c r="W179" i="1"/>
  <c r="T180" i="1"/>
  <c r="U180" i="1"/>
  <c r="V180" i="1"/>
  <c r="W180" i="1"/>
  <c r="T181" i="1"/>
  <c r="U181" i="1"/>
  <c r="V181" i="1"/>
  <c r="W181" i="1"/>
  <c r="T182" i="1"/>
  <c r="U182" i="1"/>
  <c r="V182" i="1"/>
  <c r="W182" i="1"/>
  <c r="T183" i="1"/>
  <c r="U183" i="1"/>
  <c r="V183" i="1"/>
  <c r="W183" i="1"/>
  <c r="T184" i="1"/>
  <c r="U184" i="1"/>
  <c r="V184" i="1"/>
  <c r="W184" i="1"/>
  <c r="T185" i="1"/>
  <c r="U185" i="1"/>
  <c r="V185" i="1"/>
  <c r="W185" i="1"/>
  <c r="T186" i="1"/>
  <c r="U186" i="1"/>
  <c r="V186" i="1"/>
  <c r="W186" i="1"/>
  <c r="T187" i="1"/>
  <c r="U187" i="1"/>
  <c r="V187" i="1"/>
  <c r="W187" i="1"/>
  <c r="T188" i="1"/>
  <c r="U188" i="1"/>
  <c r="V188" i="1"/>
  <c r="W188" i="1"/>
  <c r="T189" i="1"/>
  <c r="U189" i="1"/>
  <c r="V189" i="1"/>
  <c r="W189" i="1"/>
  <c r="T190" i="1"/>
  <c r="U190" i="1"/>
  <c r="V190" i="1"/>
  <c r="W190" i="1"/>
  <c r="T191" i="1"/>
  <c r="U191" i="1"/>
  <c r="V191" i="1"/>
  <c r="W191" i="1"/>
  <c r="T192" i="1"/>
  <c r="U192" i="1"/>
  <c r="V192" i="1"/>
  <c r="W192" i="1"/>
  <c r="T193" i="1"/>
  <c r="U193" i="1"/>
  <c r="V193" i="1"/>
  <c r="W193" i="1"/>
  <c r="T194" i="1"/>
  <c r="U194" i="1"/>
  <c r="V194" i="1"/>
  <c r="W194" i="1"/>
  <c r="T195" i="1"/>
  <c r="U195" i="1"/>
  <c r="V195" i="1"/>
  <c r="W195" i="1"/>
  <c r="T196" i="1"/>
  <c r="U196" i="1"/>
  <c r="V196" i="1"/>
  <c r="W196" i="1"/>
  <c r="T197" i="1"/>
  <c r="U197" i="1"/>
  <c r="V197" i="1"/>
  <c r="W197" i="1"/>
  <c r="T198" i="1"/>
  <c r="U198" i="1"/>
  <c r="V198" i="1"/>
  <c r="W198" i="1"/>
  <c r="T199" i="1"/>
  <c r="U199" i="1"/>
  <c r="V199" i="1"/>
  <c r="W199" i="1"/>
  <c r="T200" i="1"/>
  <c r="U200" i="1"/>
  <c r="V200" i="1"/>
  <c r="W200" i="1"/>
  <c r="T201" i="1"/>
  <c r="U201" i="1"/>
  <c r="V201" i="1"/>
  <c r="W201" i="1"/>
  <c r="T202" i="1"/>
  <c r="U202" i="1"/>
  <c r="V202" i="1"/>
  <c r="W202" i="1"/>
  <c r="T203" i="1"/>
  <c r="U203" i="1"/>
  <c r="V203" i="1"/>
  <c r="W203" i="1"/>
  <c r="T204" i="1"/>
  <c r="U204" i="1"/>
  <c r="V204" i="1"/>
  <c r="W204" i="1"/>
  <c r="T205" i="1"/>
  <c r="U205" i="1"/>
  <c r="V205" i="1"/>
  <c r="W205" i="1"/>
  <c r="T206" i="1"/>
  <c r="U206" i="1"/>
  <c r="V206" i="1"/>
  <c r="W206" i="1"/>
  <c r="T207" i="1"/>
  <c r="U207" i="1"/>
  <c r="V207" i="1"/>
  <c r="W207" i="1"/>
  <c r="T208" i="1"/>
  <c r="U208" i="1"/>
  <c r="V208" i="1"/>
  <c r="W208" i="1"/>
  <c r="T209" i="1"/>
  <c r="U209" i="1"/>
  <c r="V209" i="1"/>
  <c r="W209" i="1"/>
  <c r="T210" i="1"/>
  <c r="U210" i="1"/>
  <c r="V210" i="1"/>
  <c r="W210" i="1"/>
  <c r="T211" i="1"/>
  <c r="U211" i="1"/>
  <c r="V211" i="1"/>
  <c r="W211" i="1"/>
  <c r="T212" i="1"/>
  <c r="U212" i="1"/>
  <c r="V212" i="1"/>
  <c r="W212" i="1"/>
  <c r="T213" i="1"/>
  <c r="U213" i="1"/>
  <c r="V213" i="1"/>
  <c r="W213" i="1"/>
  <c r="T214" i="1"/>
  <c r="U214" i="1"/>
  <c r="V214" i="1"/>
  <c r="W214" i="1"/>
  <c r="T215" i="1"/>
  <c r="U215" i="1"/>
  <c r="V215" i="1"/>
  <c r="W215" i="1"/>
  <c r="T216" i="1"/>
  <c r="U216" i="1"/>
  <c r="V216" i="1"/>
  <c r="W216" i="1"/>
  <c r="T217" i="1"/>
  <c r="U217" i="1"/>
  <c r="V217" i="1"/>
  <c r="W217" i="1"/>
  <c r="T218" i="1"/>
  <c r="U218" i="1"/>
  <c r="V218" i="1"/>
  <c r="W218" i="1"/>
  <c r="T219" i="1"/>
  <c r="U219" i="1"/>
  <c r="V219" i="1"/>
  <c r="W219" i="1"/>
  <c r="T220" i="1"/>
  <c r="U220" i="1"/>
  <c r="V220" i="1"/>
  <c r="W220" i="1"/>
  <c r="T221" i="1"/>
  <c r="U221" i="1"/>
  <c r="V221" i="1"/>
  <c r="W221" i="1"/>
  <c r="T222" i="1"/>
  <c r="U222" i="1"/>
  <c r="V222" i="1"/>
  <c r="W222" i="1"/>
  <c r="T223" i="1"/>
  <c r="U223" i="1"/>
  <c r="V223" i="1"/>
  <c r="W223" i="1"/>
  <c r="T224" i="1"/>
  <c r="U224" i="1"/>
  <c r="V224" i="1"/>
  <c r="W224" i="1"/>
  <c r="T225" i="1"/>
  <c r="U225" i="1"/>
  <c r="V225" i="1"/>
  <c r="W225" i="1"/>
  <c r="T226" i="1"/>
  <c r="U226" i="1"/>
  <c r="V226" i="1"/>
  <c r="W226" i="1"/>
  <c r="T227" i="1"/>
  <c r="U227" i="1"/>
  <c r="V227" i="1"/>
  <c r="W227" i="1"/>
  <c r="T228" i="1"/>
  <c r="U228" i="1"/>
  <c r="V228" i="1"/>
  <c r="W228" i="1"/>
  <c r="T229" i="1"/>
  <c r="U229" i="1"/>
  <c r="V229" i="1"/>
  <c r="W229" i="1"/>
  <c r="T230" i="1"/>
  <c r="U230" i="1"/>
  <c r="V230" i="1"/>
  <c r="W230" i="1"/>
  <c r="T231" i="1"/>
  <c r="U231" i="1"/>
  <c r="V231" i="1"/>
  <c r="W231" i="1"/>
  <c r="T232" i="1"/>
  <c r="U232" i="1"/>
  <c r="V232" i="1"/>
  <c r="W232" i="1"/>
  <c r="T233" i="1"/>
  <c r="U233" i="1"/>
  <c r="V233" i="1"/>
  <c r="W233" i="1"/>
  <c r="T234" i="1"/>
  <c r="U234" i="1"/>
  <c r="V234" i="1"/>
  <c r="W234" i="1"/>
  <c r="T235" i="1"/>
  <c r="U235" i="1"/>
  <c r="V235" i="1"/>
  <c r="W235" i="1"/>
  <c r="T236" i="1"/>
  <c r="U236" i="1"/>
  <c r="V236" i="1"/>
  <c r="W236" i="1"/>
  <c r="T237" i="1"/>
  <c r="U237" i="1"/>
  <c r="V237" i="1"/>
  <c r="W237" i="1"/>
  <c r="T238" i="1"/>
  <c r="U238" i="1"/>
  <c r="V238" i="1"/>
  <c r="W238" i="1"/>
  <c r="T239" i="1"/>
  <c r="U239" i="1"/>
  <c r="V239" i="1"/>
  <c r="W239" i="1"/>
  <c r="T240" i="1"/>
  <c r="U240" i="1"/>
  <c r="V240" i="1"/>
  <c r="W240" i="1"/>
  <c r="T241" i="1"/>
  <c r="U241" i="1"/>
  <c r="V241" i="1"/>
  <c r="W241" i="1"/>
  <c r="T242" i="1"/>
  <c r="U242" i="1"/>
  <c r="V242" i="1"/>
  <c r="W242" i="1"/>
  <c r="T243" i="1"/>
  <c r="U243" i="1"/>
  <c r="V243" i="1"/>
  <c r="W243" i="1"/>
  <c r="T244" i="1"/>
  <c r="U244" i="1"/>
  <c r="V244" i="1"/>
  <c r="W244" i="1"/>
  <c r="T245" i="1"/>
  <c r="U245" i="1"/>
  <c r="V245" i="1"/>
  <c r="W245" i="1"/>
  <c r="T246" i="1"/>
  <c r="U246" i="1"/>
  <c r="V246" i="1"/>
  <c r="W246" i="1"/>
  <c r="T247" i="1"/>
  <c r="U247" i="1"/>
  <c r="V247" i="1"/>
  <c r="W247" i="1"/>
  <c r="T248" i="1"/>
  <c r="U248" i="1"/>
  <c r="V248" i="1"/>
  <c r="W248" i="1"/>
  <c r="T249" i="1"/>
  <c r="U249" i="1"/>
  <c r="V249" i="1"/>
  <c r="W249" i="1"/>
  <c r="T250" i="1"/>
  <c r="U250" i="1"/>
  <c r="V250" i="1"/>
  <c r="W250" i="1"/>
  <c r="T251" i="1"/>
  <c r="U251" i="1"/>
  <c r="V251" i="1"/>
  <c r="W251" i="1"/>
  <c r="T252" i="1"/>
  <c r="U252" i="1"/>
  <c r="V252" i="1"/>
  <c r="W252" i="1"/>
  <c r="T253" i="1"/>
  <c r="U253" i="1"/>
  <c r="V253" i="1"/>
  <c r="W253" i="1"/>
  <c r="T254" i="1"/>
  <c r="U254" i="1"/>
  <c r="V254" i="1"/>
  <c r="W254" i="1"/>
  <c r="T255" i="1"/>
  <c r="U255" i="1"/>
  <c r="V255" i="1"/>
  <c r="W255" i="1"/>
  <c r="T256" i="1"/>
  <c r="U256" i="1"/>
  <c r="V256" i="1"/>
  <c r="W256" i="1"/>
  <c r="T257" i="1"/>
  <c r="U257" i="1"/>
  <c r="V257" i="1"/>
  <c r="W257" i="1"/>
  <c r="T258" i="1"/>
  <c r="U258" i="1"/>
  <c r="V258" i="1"/>
  <c r="W258" i="1"/>
  <c r="T259" i="1"/>
  <c r="U259" i="1"/>
  <c r="V259" i="1"/>
  <c r="W259" i="1"/>
  <c r="T260" i="1"/>
  <c r="U260" i="1"/>
  <c r="V260" i="1"/>
  <c r="W260" i="1"/>
  <c r="T261" i="1"/>
  <c r="U261" i="1"/>
  <c r="V261" i="1"/>
  <c r="W261" i="1"/>
  <c r="T262" i="1"/>
  <c r="U262" i="1"/>
  <c r="V262" i="1"/>
  <c r="W262" i="1"/>
  <c r="T263" i="1"/>
  <c r="U263" i="1"/>
  <c r="V263" i="1"/>
  <c r="W263" i="1"/>
  <c r="T264" i="1"/>
  <c r="U264" i="1"/>
  <c r="V264" i="1"/>
  <c r="W264" i="1"/>
  <c r="T265" i="1"/>
  <c r="U265" i="1"/>
  <c r="V265" i="1"/>
  <c r="W265" i="1"/>
  <c r="T266" i="1"/>
  <c r="U266" i="1"/>
  <c r="V266" i="1"/>
  <c r="W266" i="1"/>
  <c r="T267" i="1"/>
  <c r="U267" i="1"/>
  <c r="V267" i="1"/>
  <c r="W267" i="1"/>
  <c r="T268" i="1"/>
  <c r="U268" i="1"/>
  <c r="V268" i="1"/>
  <c r="W268" i="1"/>
  <c r="T269" i="1"/>
  <c r="U269" i="1"/>
  <c r="V269" i="1"/>
  <c r="W269" i="1"/>
  <c r="T270" i="1"/>
  <c r="U270" i="1"/>
  <c r="V270" i="1"/>
  <c r="W270" i="1"/>
  <c r="T271" i="1"/>
  <c r="U271" i="1"/>
  <c r="V271" i="1"/>
  <c r="W271" i="1"/>
  <c r="T272" i="1"/>
  <c r="U272" i="1"/>
  <c r="V272" i="1"/>
  <c r="W272" i="1"/>
  <c r="T273" i="1"/>
  <c r="U273" i="1"/>
  <c r="V273" i="1"/>
  <c r="W273" i="1"/>
  <c r="T274" i="1"/>
  <c r="U274" i="1"/>
  <c r="V274" i="1"/>
  <c r="W274" i="1"/>
  <c r="T275" i="1"/>
  <c r="U275" i="1"/>
  <c r="V275" i="1"/>
  <c r="W275" i="1"/>
  <c r="T276" i="1"/>
  <c r="U276" i="1"/>
  <c r="V276" i="1"/>
  <c r="W276" i="1"/>
  <c r="T277" i="1"/>
  <c r="U277" i="1"/>
  <c r="V277" i="1"/>
  <c r="W277" i="1"/>
  <c r="T278" i="1"/>
  <c r="U278" i="1"/>
  <c r="V278" i="1"/>
  <c r="W278" i="1"/>
  <c r="T279" i="1"/>
  <c r="U279" i="1"/>
  <c r="V279" i="1"/>
  <c r="W279" i="1"/>
  <c r="T280" i="1"/>
  <c r="U280" i="1"/>
  <c r="V280" i="1"/>
  <c r="W280" i="1"/>
  <c r="T281" i="1"/>
  <c r="U281" i="1"/>
  <c r="V281" i="1"/>
  <c r="W281" i="1"/>
  <c r="T282" i="1"/>
  <c r="U282" i="1"/>
  <c r="V282" i="1"/>
  <c r="W282" i="1"/>
  <c r="T283" i="1"/>
  <c r="U283" i="1"/>
  <c r="V283" i="1"/>
  <c r="W283" i="1"/>
  <c r="T284" i="1"/>
  <c r="U284" i="1"/>
  <c r="V284" i="1"/>
  <c r="W284" i="1"/>
  <c r="T285" i="1"/>
  <c r="U285" i="1"/>
  <c r="V285" i="1"/>
  <c r="W285" i="1"/>
  <c r="T286" i="1"/>
  <c r="U286" i="1"/>
  <c r="V286" i="1"/>
  <c r="W286" i="1"/>
  <c r="T287" i="1"/>
  <c r="U287" i="1"/>
  <c r="V287" i="1"/>
  <c r="W287" i="1"/>
  <c r="T288" i="1"/>
  <c r="U288" i="1"/>
  <c r="V288" i="1"/>
  <c r="W288" i="1"/>
  <c r="T289" i="1"/>
  <c r="U289" i="1"/>
  <c r="V289" i="1"/>
  <c r="W289" i="1"/>
  <c r="T290" i="1"/>
  <c r="U290" i="1"/>
  <c r="V290" i="1"/>
  <c r="W290" i="1"/>
  <c r="T291" i="1"/>
  <c r="U291" i="1"/>
  <c r="V291" i="1"/>
  <c r="W291" i="1"/>
  <c r="T292" i="1"/>
  <c r="U292" i="1"/>
  <c r="V292" i="1"/>
  <c r="W292" i="1"/>
  <c r="T293" i="1"/>
  <c r="U293" i="1"/>
  <c r="V293" i="1"/>
  <c r="W293" i="1"/>
  <c r="T294" i="1"/>
  <c r="U294" i="1"/>
  <c r="V294" i="1"/>
  <c r="W294" i="1"/>
  <c r="T295" i="1"/>
  <c r="U295" i="1"/>
  <c r="V295" i="1"/>
  <c r="W295" i="1"/>
  <c r="T296" i="1"/>
  <c r="U296" i="1"/>
  <c r="V296" i="1"/>
  <c r="W296" i="1"/>
  <c r="T297" i="1"/>
  <c r="U297" i="1"/>
  <c r="V297" i="1"/>
  <c r="W297" i="1"/>
  <c r="T298" i="1"/>
  <c r="U298" i="1"/>
  <c r="V298" i="1"/>
  <c r="W298" i="1"/>
  <c r="T299" i="1"/>
  <c r="U299" i="1"/>
  <c r="V299" i="1"/>
  <c r="W299" i="1"/>
  <c r="T300" i="1"/>
  <c r="U300" i="1"/>
  <c r="V300" i="1"/>
  <c r="W300" i="1"/>
  <c r="T301" i="1"/>
  <c r="U301" i="1"/>
  <c r="V301" i="1"/>
  <c r="W301" i="1"/>
  <c r="T302" i="1"/>
  <c r="U302" i="1"/>
  <c r="V302" i="1"/>
  <c r="W302" i="1"/>
  <c r="T303" i="1"/>
  <c r="U303" i="1"/>
  <c r="V303" i="1"/>
  <c r="W303" i="1"/>
  <c r="T304" i="1"/>
  <c r="U304" i="1"/>
  <c r="V304" i="1"/>
  <c r="W304" i="1"/>
  <c r="T305" i="1"/>
  <c r="U305" i="1"/>
  <c r="V305" i="1"/>
  <c r="W305" i="1"/>
  <c r="T306" i="1"/>
  <c r="U306" i="1"/>
  <c r="V306" i="1"/>
  <c r="W306" i="1"/>
  <c r="T307" i="1"/>
  <c r="U307" i="1"/>
  <c r="V307" i="1"/>
  <c r="W307" i="1"/>
  <c r="T308" i="1"/>
  <c r="U308" i="1"/>
  <c r="V308" i="1"/>
  <c r="W308" i="1"/>
  <c r="T309" i="1"/>
  <c r="U309" i="1"/>
  <c r="V309" i="1"/>
  <c r="W309" i="1"/>
  <c r="T310" i="1"/>
  <c r="U310" i="1"/>
  <c r="V310" i="1"/>
  <c r="W310" i="1"/>
  <c r="T311" i="1"/>
  <c r="U311" i="1"/>
  <c r="V311" i="1"/>
  <c r="W311" i="1"/>
  <c r="T312" i="1"/>
  <c r="U312" i="1"/>
  <c r="V312" i="1"/>
  <c r="W312" i="1"/>
  <c r="T313" i="1"/>
  <c r="U313" i="1"/>
  <c r="V313" i="1"/>
  <c r="W313" i="1"/>
  <c r="T314" i="1"/>
  <c r="U314" i="1"/>
  <c r="V314" i="1"/>
  <c r="W314" i="1"/>
  <c r="T315" i="1"/>
  <c r="U315" i="1"/>
  <c r="V315" i="1"/>
  <c r="W315" i="1"/>
  <c r="T316" i="1"/>
  <c r="U316" i="1"/>
  <c r="V316" i="1"/>
  <c r="W316" i="1"/>
  <c r="T317" i="1"/>
  <c r="U317" i="1"/>
  <c r="V317" i="1"/>
  <c r="W317" i="1"/>
  <c r="T318" i="1"/>
  <c r="U318" i="1"/>
  <c r="V318" i="1"/>
  <c r="W318" i="1"/>
  <c r="T319" i="1"/>
  <c r="U319" i="1"/>
  <c r="V319" i="1"/>
  <c r="W319" i="1"/>
  <c r="T320" i="1"/>
  <c r="U320" i="1"/>
  <c r="V320" i="1"/>
  <c r="W320" i="1"/>
  <c r="T321" i="1"/>
  <c r="U321" i="1"/>
  <c r="V321" i="1"/>
  <c r="W321" i="1"/>
  <c r="T322" i="1"/>
  <c r="U322" i="1"/>
  <c r="V322" i="1"/>
  <c r="W322" i="1"/>
  <c r="T323" i="1"/>
  <c r="U323" i="1"/>
  <c r="V323" i="1"/>
  <c r="W323" i="1"/>
  <c r="T324" i="1"/>
  <c r="U324" i="1"/>
  <c r="V324" i="1"/>
  <c r="W324" i="1"/>
  <c r="T325" i="1"/>
  <c r="U325" i="1"/>
  <c r="V325" i="1"/>
  <c r="W325" i="1"/>
  <c r="T326" i="1"/>
  <c r="U326" i="1"/>
  <c r="V326" i="1"/>
  <c r="W326" i="1"/>
  <c r="T327" i="1"/>
  <c r="U327" i="1"/>
  <c r="V327" i="1"/>
  <c r="W327" i="1"/>
  <c r="T328" i="1"/>
  <c r="U328" i="1"/>
  <c r="V328" i="1"/>
  <c r="W328" i="1"/>
  <c r="T329" i="1"/>
  <c r="U329" i="1"/>
  <c r="V329" i="1"/>
  <c r="W329" i="1"/>
  <c r="T330" i="1"/>
  <c r="U330" i="1"/>
  <c r="V330" i="1"/>
  <c r="W330" i="1"/>
  <c r="T331" i="1"/>
  <c r="U331" i="1"/>
  <c r="V331" i="1"/>
  <c r="W331" i="1"/>
  <c r="T332" i="1"/>
  <c r="U332" i="1"/>
  <c r="V332" i="1"/>
  <c r="W332" i="1"/>
  <c r="T333" i="1"/>
  <c r="U333" i="1"/>
  <c r="V333" i="1"/>
  <c r="W333" i="1"/>
  <c r="T334" i="1"/>
  <c r="U334" i="1"/>
  <c r="V334" i="1"/>
  <c r="W334" i="1"/>
  <c r="T335" i="1"/>
  <c r="U335" i="1"/>
  <c r="V335" i="1"/>
  <c r="W335" i="1"/>
  <c r="T336" i="1"/>
  <c r="U336" i="1"/>
  <c r="V336" i="1"/>
  <c r="W336" i="1"/>
  <c r="T337" i="1"/>
  <c r="U337" i="1"/>
  <c r="V337" i="1"/>
  <c r="W337" i="1"/>
  <c r="T338" i="1"/>
  <c r="U338" i="1"/>
  <c r="V338" i="1"/>
  <c r="W338" i="1"/>
  <c r="T339" i="1"/>
  <c r="U339" i="1"/>
  <c r="V339" i="1"/>
  <c r="W339" i="1"/>
  <c r="T340" i="1"/>
  <c r="U340" i="1"/>
  <c r="V340" i="1"/>
  <c r="W340" i="1"/>
  <c r="T341" i="1"/>
  <c r="U341" i="1"/>
  <c r="V341" i="1"/>
  <c r="W341" i="1"/>
  <c r="T342" i="1"/>
  <c r="U342" i="1"/>
  <c r="V342" i="1"/>
  <c r="W342" i="1"/>
  <c r="T343" i="1"/>
  <c r="U343" i="1"/>
  <c r="V343" i="1"/>
  <c r="W343" i="1"/>
  <c r="T344" i="1"/>
  <c r="U344" i="1"/>
  <c r="V344" i="1"/>
  <c r="W344" i="1"/>
  <c r="T345" i="1"/>
  <c r="U345" i="1"/>
  <c r="V345" i="1"/>
  <c r="W345" i="1"/>
  <c r="T346" i="1"/>
  <c r="U346" i="1"/>
  <c r="V346" i="1"/>
  <c r="W346" i="1"/>
  <c r="T347" i="1"/>
  <c r="U347" i="1"/>
  <c r="V347" i="1"/>
  <c r="W347" i="1"/>
  <c r="T348" i="1"/>
  <c r="U348" i="1"/>
  <c r="V348" i="1"/>
  <c r="W348" i="1"/>
  <c r="T349" i="1"/>
  <c r="U349" i="1"/>
  <c r="V349" i="1"/>
  <c r="W349" i="1"/>
  <c r="T350" i="1"/>
  <c r="U350" i="1"/>
  <c r="V350" i="1"/>
  <c r="W350" i="1"/>
  <c r="T351" i="1"/>
  <c r="U351" i="1"/>
  <c r="V351" i="1"/>
  <c r="W351" i="1"/>
  <c r="T352" i="1"/>
  <c r="U352" i="1"/>
  <c r="V352" i="1"/>
  <c r="W352" i="1"/>
  <c r="T353" i="1"/>
  <c r="U353" i="1"/>
  <c r="V353" i="1"/>
  <c r="W353" i="1"/>
  <c r="T354" i="1"/>
  <c r="U354" i="1"/>
  <c r="V354" i="1"/>
  <c r="W354" i="1"/>
  <c r="T355" i="1"/>
  <c r="U355" i="1"/>
  <c r="V355" i="1"/>
  <c r="W355" i="1"/>
  <c r="T356" i="1"/>
  <c r="U356" i="1"/>
  <c r="V356" i="1"/>
  <c r="W356" i="1"/>
  <c r="T357" i="1"/>
  <c r="U357" i="1"/>
  <c r="V357" i="1"/>
  <c r="W357" i="1"/>
  <c r="T358" i="1"/>
  <c r="U358" i="1"/>
  <c r="V358" i="1"/>
  <c r="W358" i="1"/>
  <c r="T359" i="1"/>
  <c r="U359" i="1"/>
  <c r="V359" i="1"/>
  <c r="W359" i="1"/>
  <c r="T360" i="1"/>
  <c r="U360" i="1"/>
  <c r="V360" i="1"/>
  <c r="W360" i="1"/>
  <c r="T361" i="1"/>
  <c r="U361" i="1"/>
  <c r="V361" i="1"/>
  <c r="W361" i="1"/>
  <c r="T362" i="1"/>
  <c r="U362" i="1"/>
  <c r="V362" i="1"/>
  <c r="W362" i="1"/>
  <c r="T363" i="1"/>
  <c r="U363" i="1"/>
  <c r="V363" i="1"/>
  <c r="W363" i="1"/>
  <c r="T364" i="1"/>
  <c r="U364" i="1"/>
  <c r="V364" i="1"/>
  <c r="W364" i="1"/>
  <c r="T365" i="1"/>
  <c r="U365" i="1"/>
  <c r="V365" i="1"/>
  <c r="W365" i="1"/>
  <c r="T366" i="1"/>
  <c r="U366" i="1"/>
  <c r="V366" i="1"/>
  <c r="W366" i="1"/>
  <c r="T367" i="1"/>
  <c r="U367" i="1"/>
  <c r="V367" i="1"/>
  <c r="W367" i="1"/>
  <c r="T368" i="1"/>
  <c r="U368" i="1"/>
  <c r="V368" i="1"/>
  <c r="W368" i="1"/>
  <c r="T369" i="1"/>
  <c r="U369" i="1"/>
  <c r="V369" i="1"/>
  <c r="W369" i="1"/>
  <c r="T370" i="1"/>
  <c r="U370" i="1"/>
  <c r="V370" i="1"/>
  <c r="W370" i="1"/>
  <c r="T371" i="1"/>
  <c r="U371" i="1"/>
  <c r="V371" i="1"/>
  <c r="W371" i="1"/>
  <c r="T372" i="1"/>
  <c r="U372" i="1"/>
  <c r="V372" i="1"/>
  <c r="W372" i="1"/>
  <c r="T373" i="1"/>
  <c r="U373" i="1"/>
  <c r="V373" i="1"/>
  <c r="W373" i="1"/>
  <c r="T374" i="1"/>
  <c r="U374" i="1"/>
  <c r="V374" i="1"/>
  <c r="W374" i="1"/>
  <c r="T375" i="1"/>
  <c r="U375" i="1"/>
  <c r="V375" i="1"/>
  <c r="W375" i="1"/>
  <c r="T376" i="1"/>
  <c r="U376" i="1"/>
  <c r="V376" i="1"/>
  <c r="W376" i="1"/>
  <c r="T377" i="1"/>
  <c r="U377" i="1"/>
  <c r="V377" i="1"/>
  <c r="W377" i="1"/>
  <c r="T378" i="1"/>
  <c r="U378" i="1"/>
  <c r="V378" i="1"/>
  <c r="W378" i="1"/>
  <c r="T379" i="1"/>
  <c r="U379" i="1"/>
  <c r="V379" i="1"/>
  <c r="W379" i="1"/>
  <c r="T380" i="1"/>
  <c r="U380" i="1"/>
  <c r="V380" i="1"/>
  <c r="W380" i="1"/>
  <c r="T381" i="1"/>
  <c r="U381" i="1"/>
  <c r="V381" i="1"/>
  <c r="W381" i="1"/>
  <c r="T382" i="1"/>
  <c r="U382" i="1"/>
  <c r="V382" i="1"/>
  <c r="W382" i="1"/>
  <c r="T383" i="1"/>
  <c r="U383" i="1"/>
  <c r="V383" i="1"/>
  <c r="W383" i="1"/>
  <c r="T384" i="1"/>
  <c r="U384" i="1"/>
  <c r="V384" i="1"/>
  <c r="W384" i="1"/>
  <c r="T385" i="1"/>
  <c r="U385" i="1"/>
  <c r="V385" i="1"/>
  <c r="W385" i="1"/>
  <c r="T386" i="1"/>
  <c r="U386" i="1"/>
  <c r="V386" i="1"/>
  <c r="W386" i="1"/>
  <c r="T387" i="1"/>
  <c r="U387" i="1"/>
  <c r="V387" i="1"/>
  <c r="W387" i="1"/>
  <c r="T388" i="1"/>
  <c r="U388" i="1"/>
  <c r="V388" i="1"/>
  <c r="W388" i="1"/>
  <c r="T389" i="1"/>
  <c r="U389" i="1"/>
  <c r="V389" i="1"/>
  <c r="W389" i="1"/>
  <c r="W84" i="1" s="1"/>
  <c r="T390" i="1"/>
  <c r="U390" i="1"/>
  <c r="V390" i="1"/>
  <c r="W390" i="1"/>
  <c r="T391" i="1"/>
  <c r="U391" i="1"/>
  <c r="V391" i="1"/>
  <c r="W391" i="1"/>
  <c r="T392" i="1"/>
  <c r="U392" i="1"/>
  <c r="V392" i="1"/>
  <c r="W392" i="1"/>
  <c r="T393" i="1"/>
  <c r="U393" i="1"/>
  <c r="V393" i="1"/>
  <c r="W393" i="1"/>
  <c r="T394" i="1"/>
  <c r="U394" i="1"/>
  <c r="V394" i="1"/>
  <c r="W394" i="1"/>
  <c r="T395" i="1"/>
  <c r="U395" i="1"/>
  <c r="V395" i="1"/>
  <c r="W395" i="1"/>
  <c r="T396" i="1"/>
  <c r="U396" i="1"/>
  <c r="V396" i="1"/>
  <c r="W396" i="1"/>
  <c r="T397" i="1"/>
  <c r="U397" i="1"/>
  <c r="V397" i="1"/>
  <c r="W397" i="1"/>
  <c r="T398" i="1"/>
  <c r="U398" i="1"/>
  <c r="V398" i="1"/>
  <c r="W398" i="1"/>
  <c r="T399" i="1"/>
  <c r="U399" i="1"/>
  <c r="V399" i="1"/>
  <c r="W399" i="1"/>
  <c r="T400" i="1"/>
  <c r="U400" i="1"/>
  <c r="V400" i="1"/>
  <c r="W400" i="1"/>
  <c r="T401" i="1"/>
  <c r="U401" i="1"/>
  <c r="V401" i="1"/>
  <c r="W401" i="1"/>
  <c r="T402" i="1"/>
  <c r="U402" i="1"/>
  <c r="V402" i="1"/>
  <c r="W402" i="1"/>
  <c r="T403" i="1"/>
  <c r="U403" i="1"/>
  <c r="V403" i="1"/>
  <c r="W403" i="1"/>
  <c r="T404" i="1"/>
  <c r="U404" i="1"/>
  <c r="V404" i="1"/>
  <c r="W404" i="1"/>
  <c r="T405" i="1"/>
  <c r="U405" i="1"/>
  <c r="V405" i="1"/>
  <c r="W405" i="1"/>
  <c r="T406" i="1"/>
  <c r="U406" i="1"/>
  <c r="V406" i="1"/>
  <c r="W406" i="1"/>
  <c r="T407" i="1"/>
  <c r="U407" i="1"/>
  <c r="V407" i="1"/>
  <c r="W407" i="1"/>
  <c r="T408" i="1"/>
  <c r="U408" i="1"/>
  <c r="V408" i="1"/>
  <c r="W408" i="1"/>
  <c r="T409" i="1"/>
  <c r="U409" i="1"/>
  <c r="V409" i="1"/>
  <c r="W409" i="1"/>
  <c r="T410" i="1"/>
  <c r="U410" i="1"/>
  <c r="V410" i="1"/>
  <c r="W410" i="1"/>
  <c r="T411" i="1"/>
  <c r="U411" i="1"/>
  <c r="V411" i="1"/>
  <c r="W411" i="1"/>
  <c r="T412" i="1"/>
  <c r="U412" i="1"/>
  <c r="V412" i="1"/>
  <c r="W412" i="1"/>
  <c r="T413" i="1"/>
  <c r="U413" i="1"/>
  <c r="V413" i="1"/>
  <c r="W413" i="1"/>
  <c r="T414" i="1"/>
  <c r="U414" i="1"/>
  <c r="V414" i="1"/>
  <c r="W414" i="1"/>
  <c r="T415" i="1"/>
  <c r="U415" i="1"/>
  <c r="V415" i="1"/>
  <c r="W415" i="1"/>
  <c r="T416" i="1"/>
  <c r="U416" i="1"/>
  <c r="V416" i="1"/>
  <c r="W416" i="1"/>
  <c r="T417" i="1"/>
  <c r="U417" i="1"/>
  <c r="V417" i="1"/>
  <c r="W417" i="1"/>
  <c r="T418" i="1"/>
  <c r="U418" i="1"/>
  <c r="V418" i="1"/>
  <c r="W418" i="1"/>
  <c r="T419" i="1"/>
  <c r="U419" i="1"/>
  <c r="V419" i="1"/>
  <c r="W419" i="1"/>
  <c r="T420" i="1"/>
  <c r="U420" i="1"/>
  <c r="V420" i="1"/>
  <c r="W420" i="1"/>
  <c r="T421" i="1"/>
  <c r="U421" i="1"/>
  <c r="V421" i="1"/>
  <c r="W421" i="1"/>
  <c r="T422" i="1"/>
  <c r="U422" i="1"/>
  <c r="V422" i="1"/>
  <c r="W422" i="1"/>
  <c r="T423" i="1"/>
  <c r="U423" i="1"/>
  <c r="V423" i="1"/>
  <c r="W423" i="1"/>
  <c r="T424" i="1"/>
  <c r="U424" i="1"/>
  <c r="V424" i="1"/>
  <c r="W424" i="1"/>
  <c r="T425" i="1"/>
  <c r="U425" i="1"/>
  <c r="V425" i="1"/>
  <c r="W425" i="1"/>
  <c r="T426" i="1"/>
  <c r="U426" i="1"/>
  <c r="V426" i="1"/>
  <c r="W426" i="1"/>
  <c r="T427" i="1"/>
  <c r="U427" i="1"/>
  <c r="V427" i="1"/>
  <c r="W427" i="1"/>
  <c r="T428" i="1"/>
  <c r="U428" i="1"/>
  <c r="V428" i="1"/>
  <c r="W428" i="1"/>
  <c r="T429" i="1"/>
  <c r="U429" i="1"/>
  <c r="V429" i="1"/>
  <c r="W429" i="1"/>
  <c r="T430" i="1"/>
  <c r="U430" i="1"/>
  <c r="V430" i="1"/>
  <c r="W430" i="1"/>
  <c r="T431" i="1"/>
  <c r="U431" i="1"/>
  <c r="V431" i="1"/>
  <c r="W431" i="1"/>
  <c r="T432" i="1"/>
  <c r="U432" i="1"/>
  <c r="V432" i="1"/>
  <c r="W432" i="1"/>
  <c r="T433" i="1"/>
  <c r="U433" i="1"/>
  <c r="V433" i="1"/>
  <c r="W433" i="1"/>
  <c r="T434" i="1"/>
  <c r="U434" i="1"/>
  <c r="V434" i="1"/>
  <c r="W434" i="1"/>
  <c r="T435" i="1"/>
  <c r="U435" i="1"/>
  <c r="V435" i="1"/>
  <c r="W435" i="1"/>
  <c r="T436" i="1"/>
  <c r="U436" i="1"/>
  <c r="V436" i="1"/>
  <c r="W436" i="1"/>
  <c r="T437" i="1"/>
  <c r="U437" i="1"/>
  <c r="V437" i="1"/>
  <c r="W437" i="1"/>
  <c r="T438" i="1"/>
  <c r="U438" i="1"/>
  <c r="V438" i="1"/>
  <c r="W438" i="1"/>
  <c r="T439" i="1"/>
  <c r="U439" i="1"/>
  <c r="V439" i="1"/>
  <c r="W439" i="1"/>
  <c r="T440" i="1"/>
  <c r="U440" i="1"/>
  <c r="V440" i="1"/>
  <c r="W440" i="1"/>
  <c r="T441" i="1"/>
  <c r="U441" i="1"/>
  <c r="V441" i="1"/>
  <c r="W441" i="1"/>
  <c r="T442" i="1"/>
  <c r="U442" i="1"/>
  <c r="V442" i="1"/>
  <c r="W442" i="1"/>
  <c r="T443" i="1"/>
  <c r="U443" i="1"/>
  <c r="V443" i="1"/>
  <c r="W443" i="1"/>
  <c r="T444" i="1"/>
  <c r="U444" i="1"/>
  <c r="V444" i="1"/>
  <c r="W444" i="1"/>
  <c r="T445" i="1"/>
  <c r="U445" i="1"/>
  <c r="V445" i="1"/>
  <c r="W445" i="1"/>
  <c r="T84" i="1"/>
  <c r="W85" i="1"/>
  <c r="V85" i="1"/>
  <c r="U85" i="1"/>
  <c r="T8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Kinna</author>
  </authors>
  <commentList>
    <comment ref="T84" authorId="0" shapeId="0" xr:uid="{866B55BC-784B-4E9C-87D9-3BA80B5B607A}">
      <text>
        <r>
          <rPr>
            <b/>
            <sz val="9"/>
            <color indexed="81"/>
            <rFont val="Tahoma"/>
            <charset val="1"/>
          </rPr>
          <t>David Kinna:</t>
        </r>
        <r>
          <rPr>
            <sz val="9"/>
            <color indexed="81"/>
            <rFont val="Tahoma"/>
            <charset val="1"/>
          </rPr>
          <t xml:space="preserve">
These four cells are used in the table of results in the written report</t>
        </r>
      </text>
    </comment>
  </commentList>
</comments>
</file>

<file path=xl/sharedStrings.xml><?xml version="1.0" encoding="utf-8"?>
<sst xmlns="http://schemas.openxmlformats.org/spreadsheetml/2006/main" count="2582" uniqueCount="1119">
  <si>
    <t>step</t>
  </si>
  <si>
    <t>path</t>
  </si>
  <si>
    <t>pmid</t>
  </si>
  <si>
    <t>file</t>
  </si>
  <si>
    <t>excl</t>
  </si>
  <si>
    <t>derived</t>
  </si>
  <si>
    <t>source</t>
  </si>
  <si>
    <t>cleaned</t>
  </si>
  <si>
    <t>manual</t>
  </si>
  <si>
    <t>manualreason</t>
  </si>
  <si>
    <t>skip</t>
  </si>
  <si>
    <t>pval</t>
  </si>
  <si>
    <t>gene</t>
  </si>
  <si>
    <t>lfc</t>
  </si>
  <si>
    <t>graphfile</t>
  </si>
  <si>
    <t>matched</t>
  </si>
  <si>
    <t>unmatched</t>
  </si>
  <si>
    <t>suitable</t>
  </si>
  <si>
    <t>suitablereason</t>
  </si>
  <si>
    <t>d2025-08-26\supp_data\26186191</t>
  </si>
  <si>
    <t>d2025-08-26\supp_data\28184278</t>
  </si>
  <si>
    <t>d2025-08-26\supp_data\30545856</t>
  </si>
  <si>
    <t>d2025-08-26\supp_data\36323788</t>
  </si>
  <si>
    <t>d2025-08-26\supp_data\36590292</t>
  </si>
  <si>
    <t>d2025-08-26\supp_data\36862688</t>
  </si>
  <si>
    <t>d2025-08-26\supp_data\37041460</t>
  </si>
  <si>
    <t>d2025-08-26\supp_data\37704762</t>
  </si>
  <si>
    <t>d2025-08-26\supp_data\31097668</t>
  </si>
  <si>
    <t>d2025-08-26\supp_data\33243861</t>
  </si>
  <si>
    <t>d2025-08-26\supp_data\33262327</t>
  </si>
  <si>
    <t>d2025-08-26\supp_data\34535545</t>
  </si>
  <si>
    <t>d2025-08-26\supp_data\35962193</t>
  </si>
  <si>
    <t>NIHMS705244-supplement-2.xlsx</t>
  </si>
  <si>
    <t>NIHMS705244-supplement-3.xlsx</t>
  </si>
  <si>
    <t>NIHMS705244-supplement-4.xlsx</t>
  </si>
  <si>
    <t>NIHMS705244-supplement-5.xlsx</t>
  </si>
  <si>
    <t>NIHMS705244-supplement-6.xlsx</t>
  </si>
  <si>
    <t>NIHMS705244-supplement-7.xlsx</t>
  </si>
  <si>
    <t>NIHMS705244-supplement-8.xlsx</t>
  </si>
  <si>
    <t>13229_2017_117_MOESM1_ESM.xlsx</t>
  </si>
  <si>
    <t>NIHMS1007359-supplement-Table_S1.xlsx</t>
  </si>
  <si>
    <t>NIHMS1007359-supplement-Table_S2.xlsx</t>
  </si>
  <si>
    <t>NIHMS1007359-supplement-Table_S3.xlsx</t>
  </si>
  <si>
    <t>NIHMS1007359-supplement-Table_S4.xlsx</t>
  </si>
  <si>
    <t>41586_2022_5377_MOESM4_ESM.xlsx</t>
  </si>
  <si>
    <t>41586_2022_5377_MOESM5_ESM.xlsx</t>
  </si>
  <si>
    <t>41586_2022_5377_MOESM6_ESM.xlsx</t>
  </si>
  <si>
    <t>41586_2022_5377_MOESM7_ESM.xlsx</t>
  </si>
  <si>
    <t>41586_2022_5377_MOESM8_ESM.xlsx</t>
  </si>
  <si>
    <t>41586_2022_5377_MOESM9_ESM.xlsx</t>
  </si>
  <si>
    <t>Table_2.XLSX</t>
  </si>
  <si>
    <t>Table_3.XLSX</t>
  </si>
  <si>
    <t>Table_4.XLSX</t>
  </si>
  <si>
    <t>pnas.2206758120.sd01.xlsx</t>
  </si>
  <si>
    <t>pnas.2206758120.sd02.xlsx</t>
  </si>
  <si>
    <t>pnas.2206758120.sd03.xlsx</t>
  </si>
  <si>
    <t>pnas.2206758120.sd04.xlsx</t>
  </si>
  <si>
    <t>pnas.2206758120.sd05.xlsx</t>
  </si>
  <si>
    <t>pnas.2206758120.sd06.xlsx</t>
  </si>
  <si>
    <t>pnas.2206758120.sd07.xlsx</t>
  </si>
  <si>
    <t>pnas.2206758120.sd08.xlsx</t>
  </si>
  <si>
    <t>pnas.2206758120.sd09.xlsx</t>
  </si>
  <si>
    <t>pnas.2206758120.sd10.xlsx</t>
  </si>
  <si>
    <t>pnas.2206758120.sd11.xlsx</t>
  </si>
  <si>
    <t>pnas.2206758120.sd12.xlsx</t>
  </si>
  <si>
    <t>pnas.2206758120.sd13.xlsx</t>
  </si>
  <si>
    <t>pnas.2206758120.sd14.xlsx</t>
  </si>
  <si>
    <t>12859_2023_5278_MOESM1_ESM.xlsx</t>
  </si>
  <si>
    <t>12859_2023_5278_MOESM2_ESM.xlsx</t>
  </si>
  <si>
    <t>12859_2023_5278_MOESM3_ESM.xlsx</t>
  </si>
  <si>
    <t>12859_2023_5278_MOESM4_ESM.xlsx</t>
  </si>
  <si>
    <t>12859_2023_5278_MOESM5_ESM.xlsx</t>
  </si>
  <si>
    <t>12859_2023_5278_MOESM6_ESM.xlsx</t>
  </si>
  <si>
    <t>41586_2023_6473_MOESM1_ESM.xlsx</t>
  </si>
  <si>
    <t>41586_2023_6473_MOESM3_ESM.xlsx</t>
  </si>
  <si>
    <t>41586_2023_6473_MOESM4_ESM.txt</t>
  </si>
  <si>
    <t>41586_2023_6473_MOESM5_ESM.txt</t>
  </si>
  <si>
    <t>41586_2023_6473_MOESM6_ESM.txt</t>
  </si>
  <si>
    <t>41586_2023_6473_MOESM7_ESM.txt</t>
  </si>
  <si>
    <t>41586_2023_6473_MOESM8_ESM.txt</t>
  </si>
  <si>
    <t>41586_2023_6473_MOESM9_ESM.txt</t>
  </si>
  <si>
    <t>NIHMS1007359-supplement-Table_S5.xlsx</t>
  </si>
  <si>
    <t>NIHMS1007359-supplement-Table_S6.xlsx</t>
  </si>
  <si>
    <t>NIHMS1007359-supplement-Table_S7.xlsx</t>
  </si>
  <si>
    <t>NIHMS1007359-supplement-Table_S8.xlsx</t>
  </si>
  <si>
    <t>NIHMS1007359-supplement-Table_S9.xlsx</t>
  </si>
  <si>
    <t>NIHMS1053005-supplement-Data_S1.xlsx</t>
  </si>
  <si>
    <t>NIHMS1053005-supplement-Data_S2.xlsx</t>
  </si>
  <si>
    <t>NIHMS1053005-supplement-Data_S3.xls</t>
  </si>
  <si>
    <t>NIHMS1053005-supplement-Data_S4.xls</t>
  </si>
  <si>
    <t>NIHMS1053005-supplement-Data_S5.xlsx</t>
  </si>
  <si>
    <t>NIHMS1666890-supplement-Table_S1.csv</t>
  </si>
  <si>
    <t>NIHMS1666890-supplement-Table_S10.xlsx</t>
  </si>
  <si>
    <t>NIHMS1666890-supplement-Table_S2.xlsx</t>
  </si>
  <si>
    <t>NIHMS1666890-supplement-Table_S3.xlsx</t>
  </si>
  <si>
    <t>NIHMS1666890-supplement-Table_S4.xlsx</t>
  </si>
  <si>
    <t>NIHMS1666890-supplement-Table_S5.csv</t>
  </si>
  <si>
    <t>NIHMS1666890-supplement-Table_S6.xlsx</t>
  </si>
  <si>
    <t>NIHMS1666890-supplement-Table_S7.xlsx</t>
  </si>
  <si>
    <t>NIHMS1666890-supplement-Table_S8.csv</t>
  </si>
  <si>
    <t>NIHMS1666890-supplement-Table_S9.xlsx</t>
  </si>
  <si>
    <t>41398_2020_1106_MOESM2_ESM.xlsx</t>
  </si>
  <si>
    <t>41398_2020_1106_MOESM3_ESM.xlsx</t>
  </si>
  <si>
    <t>41398_2020_1106_MOESM4_ESM.xlsx</t>
  </si>
  <si>
    <t>supp_078804.121_Supplementary_Tables.xlsx</t>
  </si>
  <si>
    <t>41380_2022_1714_MOESM2_ESM.xlsx</t>
  </si>
  <si>
    <t>41380_2022_1714_MOESM3_ESM.xlsx</t>
  </si>
  <si>
    <t>41380_2022_1714_MOESM4_ESM.xlsx</t>
  </si>
  <si>
    <t>41380_2022_1714_MOESM5_ESM.xlsx</t>
  </si>
  <si>
    <t>41380_2022_1714_MOESM6_ESM.xlsx</t>
  </si>
  <si>
    <t>41380_2022_1714_MOESM7_ESM.xlsx</t>
  </si>
  <si>
    <t>41380_2022_1714_MOESM8_ESM.xlsx</t>
  </si>
  <si>
    <t>41380_2022_1714_MOESM9_ESM.xlsx</t>
  </si>
  <si>
    <t>41586_2022_5377_MOESM10_ESM.xlsx</t>
  </si>
  <si>
    <t>41586_2022_5377_MOESM3_ESM.xlsx</t>
  </si>
  <si>
    <t>split_circRNA-miRNA-trans-eGene.csv</t>
  </si>
  <si>
    <t>split_424axes.csv</t>
  </si>
  <si>
    <t>split_Note_41380_2022_1714_MOESM9_ESM.csv</t>
  </si>
  <si>
    <t>split_FUSION_circRNA_SCZ.csv</t>
  </si>
  <si>
    <t>split_Note_41380_2022_1714_MOESM8_ESM.csv</t>
  </si>
  <si>
    <t>split_DE-circRNAsinSCZ.csv</t>
  </si>
  <si>
    <t>split_DE-circRNAmodule.csv</t>
  </si>
  <si>
    <t>split_DE-circRNAsinASD.csv</t>
  </si>
  <si>
    <t>split_Note_41380_2022_1714_MOESM7_ESM.csv</t>
  </si>
  <si>
    <t>split_DEGSscommontoallsubtypes.csv</t>
  </si>
  <si>
    <t>split_DEGSsuniquetosubtypeⅢ.csv</t>
  </si>
  <si>
    <t>split_DEGSsuniquetosubtypeⅠ.csv</t>
  </si>
  <si>
    <t>split_SupplementaryTable5.csv</t>
  </si>
  <si>
    <t>split_SubtypeIIIDEGSs.csv</t>
  </si>
  <si>
    <t>split_SubtypeIIDEGSs.csv</t>
  </si>
  <si>
    <t>split_SubtypeIDEGSs.csv</t>
  </si>
  <si>
    <t>split_ST4_F_CTRL-STSvsF_CTRL-PAC.csv</t>
  </si>
  <si>
    <t>split_ST3_F_ASD-STSvsF_ASD-PAC.csv</t>
  </si>
  <si>
    <t>split_ST2_ASD-PACvsCTRL-PAC.csv</t>
  </si>
  <si>
    <t>split_ST1_ASD-STSvsCTRL-STS.csv</t>
  </si>
  <si>
    <t>split_Sheet1_NIHMS705244-supplement-8.csv</t>
  </si>
  <si>
    <t>split_yellow_NIHMS705244-supplement-7.csv</t>
  </si>
  <si>
    <t>split_green_NIHMS705244-supplement-7.csv</t>
  </si>
  <si>
    <t>split_tan_NIHMS705244-supplement-7.csv</t>
  </si>
  <si>
    <t>split_brown_NIHMS705244-supplement-7.csv</t>
  </si>
  <si>
    <t>split_Module-DiseaseAssociation.csv</t>
  </si>
  <si>
    <t>split_isoformModules.csv</t>
  </si>
  <si>
    <t>split_geneModules.csv</t>
  </si>
  <si>
    <t>split_README_NIHMS1007359-supplement-Table_S5.csv</t>
  </si>
  <si>
    <t>split_41586_2023_6473_MOESM9_ESM.csv</t>
  </si>
  <si>
    <t>split_41586_2023_6473_MOESM8_ESM.csv</t>
  </si>
  <si>
    <t>split_41586_2023_6473_MOESM7_ESM.csv</t>
  </si>
  <si>
    <t>split_ST20_IPAon74ASD-implicatedGenes.csv</t>
  </si>
  <si>
    <t>split_ST19_74ASD-implicatedGenesFreg.csv</t>
  </si>
  <si>
    <t>split_ST18_OverlapWithZiatsAndRennert.csv</t>
  </si>
  <si>
    <t>split_ST17_NeurotransmiterPWs_Reg_M.csv</t>
  </si>
  <si>
    <t>split_ST16_NeurotransmiterPWs_Reg_F.csv</t>
  </si>
  <si>
    <t>split_ST15_ImmunePWs_Regional_M.csv</t>
  </si>
  <si>
    <t>split_ST14_ImmunePWs_Regional_F.csv</t>
  </si>
  <si>
    <t>split_ST13_IPA-M_Regional_MappedmiRNA.csv</t>
  </si>
  <si>
    <t>split_ST12_IPA-F_Regional_MappedmiRNA.csv</t>
  </si>
  <si>
    <t>split_S8D_IsoformSamples.csv</t>
  </si>
  <si>
    <t>split_S8C_SplicingSamples.csv</t>
  </si>
  <si>
    <t>split_S8B_IsoformValidations.csv</t>
  </si>
  <si>
    <t>split_S8A_SplicingValidations.csv</t>
  </si>
  <si>
    <t>split_README_NIHMS1007359-supplement-Table_S8.csv</t>
  </si>
  <si>
    <t>split_SwitchIsoformEnrichment.csv</t>
  </si>
  <si>
    <t>split_MicroexonEnrichment.csv</t>
  </si>
  <si>
    <t>split_EventType_Summary.csv</t>
  </si>
  <si>
    <t>split_DSgenesinmorethan1disorder.csv</t>
  </si>
  <si>
    <t>split_Legends.csv</t>
  </si>
  <si>
    <t>split_NPncRNAs.csv</t>
  </si>
  <si>
    <t>split_README_NIHMS1007359-supplement-Table_S2.csv</t>
  </si>
  <si>
    <t>split_CrossDisorderOverlap.csv</t>
  </si>
  <si>
    <t>split_sLDSR.csv</t>
  </si>
  <si>
    <t>split_RiskGeneEnrichment.csv</t>
  </si>
  <si>
    <t>split_CellTypeEnrichment.csv</t>
  </si>
  <si>
    <t>split_RNA_disrubting_variants_in_DEGs.csv</t>
  </si>
  <si>
    <t>split_High-confidencevariants.csv</t>
  </si>
  <si>
    <t>split_Individual_specific_DEGs.csv</t>
  </si>
  <si>
    <t>split_Bulk_deconvolution_DEGs.csv</t>
  </si>
  <si>
    <t>split_ASD_regional_DEGs.csv</t>
  </si>
  <si>
    <t>split_ASD_DEGs.csv</t>
  </si>
  <si>
    <t>split_celltypemarkers.csv</t>
  </si>
  <si>
    <t>split_PRSTranscriptAssociation.csv</t>
  </si>
  <si>
    <t>split_PRSGeneAssociation.csv</t>
  </si>
  <si>
    <t>split_ASDSMR.csv</t>
  </si>
  <si>
    <t>split_BDSMR.csv</t>
  </si>
  <si>
    <t>split_SCZSMR.csv</t>
  </si>
  <si>
    <t>split_BDSCZ.csv</t>
  </si>
  <si>
    <t>split_ASDTWAS.csv</t>
  </si>
  <si>
    <t>split_SCZTWAS.csv</t>
  </si>
  <si>
    <t>split_GenesSupportedByMultipleMethods.csv</t>
  </si>
  <si>
    <t>split_NIHMS1666890-supplement-Table_S1.csv</t>
  </si>
  <si>
    <t>split_6033.csv</t>
  </si>
  <si>
    <t>split_5978.csv</t>
  </si>
  <si>
    <t>split_5945.csv</t>
  </si>
  <si>
    <t>split_5939.csv</t>
  </si>
  <si>
    <t>split_5864.csv</t>
  </si>
  <si>
    <t>split_5841.csv</t>
  </si>
  <si>
    <t>split_R2_exprPCs_Covariates.csv</t>
  </si>
  <si>
    <t>split_datMeta_datSeq.csv</t>
  </si>
  <si>
    <t>split_SupplementaryData1.csv</t>
  </si>
  <si>
    <t>split_PseudobulkExpression.csv</t>
  </si>
  <si>
    <t>split_module-snDE-overlap.csv</t>
  </si>
  <si>
    <t>split_DEA_ASDvCTL_SubtypeRegion.csv</t>
  </si>
  <si>
    <t>split_DEA_ASDvCTL_sumstats.csv</t>
  </si>
  <si>
    <t>split_snRNAseq_proportion.csv</t>
  </si>
  <si>
    <t>split_CellCounts.csv</t>
  </si>
  <si>
    <t>split_CellWeights_ODC.csv</t>
  </si>
  <si>
    <t>split_GeneWeights_ODC.csv</t>
  </si>
  <si>
    <t>split_CellWeights_Microglia.csv</t>
  </si>
  <si>
    <t>split_GeneWeights_Microglia.csv</t>
  </si>
  <si>
    <t>split_CellWeights_Inhibitory.csv</t>
  </si>
  <si>
    <t>split_GeneWeights_Inhibitory.csv</t>
  </si>
  <si>
    <t>split_CellWeights_Excitatory.csv</t>
  </si>
  <si>
    <t>split_AllenBrainAtlas_RegMatch.csv</t>
  </si>
  <si>
    <t>split_ARI_Bootstrap2.csv</t>
  </si>
  <si>
    <t>split_ARI_Bootstrap1.csv</t>
  </si>
  <si>
    <t>split_ARI_Isoform_Permutation.csv</t>
  </si>
  <si>
    <t>split_ARI_Gene_Permutation.csv</t>
  </si>
  <si>
    <t>split_SupplementaryData4.csv</t>
  </si>
  <si>
    <t>split_DEIsoform_Statistics.csv</t>
  </si>
  <si>
    <t>split_DEGene_Statistics.csv</t>
  </si>
  <si>
    <t>split_SupplementaryData3.csv</t>
  </si>
  <si>
    <t>split_Table_description.csv</t>
  </si>
  <si>
    <t>split_Sheet1.csv</t>
  </si>
  <si>
    <t>split_Mut_miR873_GO_BP.csv</t>
  </si>
  <si>
    <t>split_WT_miR-873_GO_BP.csv</t>
  </si>
  <si>
    <t>split_Mut_miR-873targets.csv</t>
  </si>
  <si>
    <t>split_WT_miR-873targets.csv</t>
  </si>
  <si>
    <t>split_TableS9_LMMresults.csv</t>
  </si>
  <si>
    <t>split_vonEconomo_BA_Match.csv</t>
  </si>
  <si>
    <t>split_Macaque_BA_Match.csv</t>
  </si>
  <si>
    <t>split_NeuronalComposition.csv</t>
  </si>
  <si>
    <t>split_SupplementaryData7.csv</t>
  </si>
  <si>
    <t>split_PerturbSeq_Overlap_41586_2022_5377_MOESM8_ESM.csv</t>
  </si>
  <si>
    <t>split_IsoformModule_Ontology.csv</t>
  </si>
  <si>
    <t>split_GeneModule_Ontology.csv</t>
  </si>
  <si>
    <t>split_SupplementaryData6.csv</t>
  </si>
  <si>
    <t>split_IsoformModules.csv</t>
  </si>
  <si>
    <t>split_AllcircQTL-circRNA.csv</t>
  </si>
  <si>
    <t>split_Note_41380_2022_1714_MOESM3_ESM.csv</t>
  </si>
  <si>
    <t>split_Adjustedgeneexpression.csv</t>
  </si>
  <si>
    <t>split_AdjustedcircRNAexpression.csv</t>
  </si>
  <si>
    <t>split_Usedsamples.csv</t>
  </si>
  <si>
    <t>split_Note.csv</t>
  </si>
  <si>
    <t>split_TableS9.csv</t>
  </si>
  <si>
    <t>split_DatasetS1.csv</t>
  </si>
  <si>
    <t>split_C_Table_4.csv</t>
  </si>
  <si>
    <t>split_B_Table_4.csv</t>
  </si>
  <si>
    <t>split_A_Table_4.csv</t>
  </si>
  <si>
    <t>split_D.csv</t>
  </si>
  <si>
    <t>split_C.csv</t>
  </si>
  <si>
    <t>split_B.csv</t>
  </si>
  <si>
    <t>split_A.csv</t>
  </si>
  <si>
    <t>split_GlutandGABAclass-relevant.csv</t>
  </si>
  <si>
    <t>split_CIT.csv</t>
  </si>
  <si>
    <t>split_MPT.csv</t>
  </si>
  <si>
    <t>split_independent_41380_2022_1714_MOESM6_ESM.csv</t>
  </si>
  <si>
    <t>split_Note_41380_2022_1714_MOESM6_ESM.csv</t>
  </si>
  <si>
    <t>split_SCZ-associatedSNPclump.csv</t>
  </si>
  <si>
    <t>split_circQTL-circRNAassociations.csv</t>
  </si>
  <si>
    <t>split_Usedsamples_41380_2022_1714_MOESM5_ESM.csv</t>
  </si>
  <si>
    <t>split_M21_darkred.csv</t>
  </si>
  <si>
    <t>split_M20_royalblue.csv</t>
  </si>
  <si>
    <t>split_M2_blue.csv</t>
  </si>
  <si>
    <t>split_M19_lightyellow.csv</t>
  </si>
  <si>
    <t>split_M18_lightgreen.csv</t>
  </si>
  <si>
    <t>split_M17_grey60.csv</t>
  </si>
  <si>
    <t>split_M16_lightcyan.csv</t>
  </si>
  <si>
    <t>split_M15_midnightblue.csv</t>
  </si>
  <si>
    <t>split_M14_cyan.csv</t>
  </si>
  <si>
    <t>split_magenta_NIHMS705244-supplement-7.csv</t>
  </si>
  <si>
    <t>split_blue_NIHMS705244-supplement-7.csv</t>
  </si>
  <si>
    <t>split_CAPTION_NIHMS705244-supplement-7.csv</t>
  </si>
  <si>
    <t>split_yellow.csv</t>
  </si>
  <si>
    <t>split_tan.csv</t>
  </si>
  <si>
    <t>split_magenta.csv</t>
  </si>
  <si>
    <t>split_green.csv</t>
  </si>
  <si>
    <t>split_M8_pink.csv</t>
  </si>
  <si>
    <t>split_M7_black.csv</t>
  </si>
  <si>
    <t>split_M6_red.csv</t>
  </si>
  <si>
    <t>split_M5_green.csv</t>
  </si>
  <si>
    <t>split_M4_yellow.csv</t>
  </si>
  <si>
    <t>split_M32_violet.csv</t>
  </si>
  <si>
    <t>split_M31_paleturquoise.csv</t>
  </si>
  <si>
    <t>split_M3_brown.csv</t>
  </si>
  <si>
    <t>split_M29_saddlebrown.csv</t>
  </si>
  <si>
    <t>split_ST11_227commonTargetsInMandFreg.csv</t>
  </si>
  <si>
    <t>split_ST10_IPA_F_STS.csv</t>
  </si>
  <si>
    <t>split_ST9_IPA_M_PAC.csv</t>
  </si>
  <si>
    <t>split_ST8_IPA_F_PAC.csv</t>
  </si>
  <si>
    <t>split_ST7_Summary.csv</t>
  </si>
  <si>
    <t>split_ST6_M_CTRL-STSvsM_CTRL-PAC.csv</t>
  </si>
  <si>
    <t>split_ST5_M_ASD-STSvsM_ASD-PAC.csv</t>
  </si>
  <si>
    <t>split_M16_lightcyan_pnas.2206758120.sd10.csv</t>
  </si>
  <si>
    <t>split_M15_midnightblue_pnas.2206758120.sd10.csv</t>
  </si>
  <si>
    <t>split_M14_cyan_pnas.2206758120.sd10.csv</t>
  </si>
  <si>
    <t>split_M13_salmon_pnas.2206758120.sd10.csv</t>
  </si>
  <si>
    <t>split_M12_tan_pnas.2206758120.sd10.csv</t>
  </si>
  <si>
    <t>split_M11_greenyellow_pnas.2206758120.sd10.csv</t>
  </si>
  <si>
    <t>split_M10_purple_pnas.2206758120.sd10.csv</t>
  </si>
  <si>
    <t>split_M1_turquoise_pnas.2206758120.sd10.csv</t>
  </si>
  <si>
    <t>split_DatasetS9.csv</t>
  </si>
  <si>
    <t>split_isoformOnlyDE.csv</t>
  </si>
  <si>
    <t>split_DTU.csv</t>
  </si>
  <si>
    <t>split_DTE.csv</t>
  </si>
  <si>
    <t>split_DGE.csv</t>
  </si>
  <si>
    <t>split_README.csv</t>
  </si>
  <si>
    <t>split_ST22_PWsOverlapWithWerling2016.csv</t>
  </si>
  <si>
    <t>split_ST21_mRNAoverlapWithWerling2016.csv</t>
  </si>
  <si>
    <t>split_SubtypeIDEGs.csv</t>
  </si>
  <si>
    <t>split_SupplementaryTable1.csv</t>
  </si>
  <si>
    <t>split_DatasetS14.csv</t>
  </si>
  <si>
    <t>split_DatasetS13.csv</t>
  </si>
  <si>
    <t>split_DatasetS12.csv</t>
  </si>
  <si>
    <t>split_DatasetS11.csv</t>
  </si>
  <si>
    <t>split_M9_magenta_pnas.2206758120.sd10.csv</t>
  </si>
  <si>
    <t>split_M8_pink_pnas.2206758120.sd10.csv</t>
  </si>
  <si>
    <t>split_M7_black_pnas.2206758120.sd10.csv</t>
  </si>
  <si>
    <t>split_README_NIHMS1007359-supplement-Table_S4.csv</t>
  </si>
  <si>
    <t>split_SCZ_introns.csv</t>
  </si>
  <si>
    <t>split_SCZ_intron_clusters.csv</t>
  </si>
  <si>
    <t>split_BD_introns.csv</t>
  </si>
  <si>
    <t>split_BD_intron_clusters.csv</t>
  </si>
  <si>
    <t>split_ASD_introns.csv</t>
  </si>
  <si>
    <t>split_ASD_intron_clusters+Ovlp-Pariks.csv</t>
  </si>
  <si>
    <t>split_SupplementaryTable4.csv</t>
  </si>
  <si>
    <t>split_SubtypeⅢKEGGanalysis.csv</t>
  </si>
  <si>
    <t>split_SubtypeⅡKEGGanalysis.csv</t>
  </si>
  <si>
    <t>split_SubtypeⅠKEGGanalysis.csv</t>
  </si>
  <si>
    <t>split_SubtypeⅢGOanalysis.csv</t>
  </si>
  <si>
    <t>split_SubtypeⅡGOanalysis.csv</t>
  </si>
  <si>
    <t>split_SubtypeⅠGOanalysis.csv</t>
  </si>
  <si>
    <t>split_SupplementaryTable3.csv</t>
  </si>
  <si>
    <t>split_DEGscommontoallsubtypes.csv</t>
  </si>
  <si>
    <t>split_CellNamesSubtyps_Velmeshev.csv</t>
  </si>
  <si>
    <t>split_UMAP_metadata.csv</t>
  </si>
  <si>
    <t>split_UMAP_annotations.csv</t>
  </si>
  <si>
    <t>split_cluster_markers.csv</t>
  </si>
  <si>
    <t>split_snRNAseq_metadata.csv</t>
  </si>
  <si>
    <t>split_SupplementaryData8.csv</t>
  </si>
  <si>
    <t>split_TWASDEsigGenes.csv</t>
  </si>
  <si>
    <t>split_41586_2023_6473_MOESM6_ESM.csv</t>
  </si>
  <si>
    <t>split_41586_2023_6473_MOESM5_ESM.csv</t>
  </si>
  <si>
    <t>split_41586_2023_6473_MOESM4_ESM.csv</t>
  </si>
  <si>
    <t>split_sgRNAsequence.csv</t>
  </si>
  <si>
    <t>split_Primers.csv</t>
  </si>
  <si>
    <t>split_ADI-Rttest.csv</t>
  </si>
  <si>
    <t>split_ASDpatientinformation.csv</t>
  </si>
  <si>
    <t>split_SupplementaryTable6.csv</t>
  </si>
  <si>
    <t>split_NoPMI96_Summary.csv</t>
  </si>
  <si>
    <t>split_ADI-R_Corr.csv</t>
  </si>
  <si>
    <t>split_PerturbSeq_Overlap.csv</t>
  </si>
  <si>
    <t>split_ASD_dup15q_DE_Overlap.csv</t>
  </si>
  <si>
    <t>split_ASD_DE_GeneIsoform_Overlap.csv</t>
  </si>
  <si>
    <t>split_ASD_DE_Regional_Overlap.csv</t>
  </si>
  <si>
    <t>split_SupplementaryData2.csv</t>
  </si>
  <si>
    <t>split_SwitchIsoforms.csv</t>
  </si>
  <si>
    <t>split_README_NIHMS1007359-supplement-Table_S7.csv</t>
  </si>
  <si>
    <t>split_kMEtable.csv</t>
  </si>
  <si>
    <t>split_lncRNA-target.csv</t>
  </si>
  <si>
    <t>split_README_NIHMS1007359-supplement-Table_S6.csv</t>
  </si>
  <si>
    <t>split_RiskGeneEnrichment_NIHMS1007359-supplement-Table_S5.csv</t>
  </si>
  <si>
    <t>split_sLDSR_NIHMS1007359-supplement-Table_S5.csv</t>
  </si>
  <si>
    <t>split_geneOntology.csv</t>
  </si>
  <si>
    <t>split_modulePreservation.csv</t>
  </si>
  <si>
    <t>split_GeneModules.csv</t>
  </si>
  <si>
    <t>split_Isoform_Level.csv</t>
  </si>
  <si>
    <t>split_Gene_Level.csv</t>
  </si>
  <si>
    <t>split_SupplementaryData5.csv</t>
  </si>
  <si>
    <t>split_ARI_Gene_Group_GO.csv</t>
  </si>
  <si>
    <t>split_ARI_Gene_Group_Enrichment.csv</t>
  </si>
  <si>
    <t>split_All_ARI_Genes.csv</t>
  </si>
  <si>
    <t>split_Epilepsy_cells.csv</t>
  </si>
  <si>
    <t>split_ASD_cells.csv</t>
  </si>
  <si>
    <t>split_Epilepsy_and_Control_samples.csv</t>
  </si>
  <si>
    <t>split_Epilepsy_and_Control_individual.csv</t>
  </si>
  <si>
    <t>split_ASD_and_Control_samples.csv</t>
  </si>
  <si>
    <t>split_ASD_and_Control_individuals.csv</t>
  </si>
  <si>
    <t>split_S9B.csv</t>
  </si>
  <si>
    <t>split_S9A.csv</t>
  </si>
  <si>
    <t>split_README_NIHMS1007359-supplement-Table_S9.csv</t>
  </si>
  <si>
    <t>split_CountsBreakdown.csv</t>
  </si>
  <si>
    <t>split_GABAergicdata(Figs7-9).csv</t>
  </si>
  <si>
    <t>split_Glutamatergicdata(Figs7-9).csv</t>
  </si>
  <si>
    <t>split_MethylCTD_CTShifts.csv</t>
  </si>
  <si>
    <t>split_MethylCTD_Props.csv</t>
  </si>
  <si>
    <t>split_MethylCTD_Stats.csv</t>
  </si>
  <si>
    <t>split_LowGIS_Enrichment.csv</t>
  </si>
  <si>
    <t>split_5565.csv</t>
  </si>
  <si>
    <t>split_5531.csv</t>
  </si>
  <si>
    <t>split_5419.csv</t>
  </si>
  <si>
    <t>split_5403.csv</t>
  </si>
  <si>
    <t>split_5294.csv</t>
  </si>
  <si>
    <t>split_5278.csv</t>
  </si>
  <si>
    <t>split_5144.csv</t>
  </si>
  <si>
    <t>split_4899.csv</t>
  </si>
  <si>
    <t>split_4849.csv</t>
  </si>
  <si>
    <t>split_M13_salmon.csv</t>
  </si>
  <si>
    <t>split_M12_tan.csv</t>
  </si>
  <si>
    <t>split_M11_greenyellow.csv</t>
  </si>
  <si>
    <t>split_M10_purple.csv</t>
  </si>
  <si>
    <t>split_M1_turquoise.csv</t>
  </si>
  <si>
    <t>split_DatasetS3.csv</t>
  </si>
  <si>
    <t>split_DatasetS2.csv</t>
  </si>
  <si>
    <t>split_GeneWeights_Excitatory.csv</t>
  </si>
  <si>
    <t>split_CellWeights_Astroglia.csv</t>
  </si>
  <si>
    <t>split_GeneWeights_Astroglia.csv</t>
  </si>
  <si>
    <t>split_Legend_NIHMS1666890-supplement-Table_S3.csv</t>
  </si>
  <si>
    <t>split_TableS2.csv</t>
  </si>
  <si>
    <t>split_humanDEginPerturbSeq.csv</t>
  </si>
  <si>
    <t>split_humanDEg.csv</t>
  </si>
  <si>
    <t>split_Legend.csv</t>
  </si>
  <si>
    <t>split_M28_skyblue.csv</t>
  </si>
  <si>
    <t>split_M27_white.csv</t>
  </si>
  <si>
    <t>split_M26_darkorange.csv</t>
  </si>
  <si>
    <t>split_M25_orange.csv</t>
  </si>
  <si>
    <t>split_M24_darkgrey.csv</t>
  </si>
  <si>
    <t>split_M23_darkturquoise.csv</t>
  </si>
  <si>
    <t>split_M22_darkgreen.csv</t>
  </si>
  <si>
    <t>split_NIHMS1666890-supplement-Table_S8.csv</t>
  </si>
  <si>
    <t>split_Sheet1_NIHMS1666890-supplement-Table_S7.csv</t>
  </si>
  <si>
    <t>split_SeuratParameters.csv</t>
  </si>
  <si>
    <t>split_NIHMS1666890-supplement-Table_S5.csv</t>
  </si>
  <si>
    <t>split_AnovaResults-STM.csv</t>
  </si>
  <si>
    <t>split_DEResults-STM.csv</t>
  </si>
  <si>
    <t>split_AnovaResults-WGCNA.csv</t>
  </si>
  <si>
    <t>split_DEResults-WGCNA.csv</t>
  </si>
  <si>
    <t>split_Legend_NIHMS1666890-supplement-Table_S4.csv</t>
  </si>
  <si>
    <t>split_intron_effect_size_pnas.2206758120.sd08.csv</t>
  </si>
  <si>
    <t>split_cluster_significance_pnas.2206758120.sd08.csv</t>
  </si>
  <si>
    <t>split_DatasetS7.csv</t>
  </si>
  <si>
    <t>split_DatasetS6.csv</t>
  </si>
  <si>
    <t>split_intron_effect_size.csv</t>
  </si>
  <si>
    <t>split_cluster_significance.csv</t>
  </si>
  <si>
    <t>split_M9_magenta.csv</t>
  </si>
  <si>
    <t>split_TableS8.csv</t>
  </si>
  <si>
    <t>split_TableS7.csv</t>
  </si>
  <si>
    <t>split_TableS6.csv</t>
  </si>
  <si>
    <t>split_TableS5.csv</t>
  </si>
  <si>
    <t>split_TableS4.csv</t>
  </si>
  <si>
    <t>split_TableS3.csv</t>
  </si>
  <si>
    <t>split_TableS1.csv</t>
  </si>
  <si>
    <t>split_Colname_description.csv</t>
  </si>
  <si>
    <t>split_M6_red_pnas.2206758120.sd10.csv</t>
  </si>
  <si>
    <t>split_M5_green_pnas.2206758120.sd10.csv</t>
  </si>
  <si>
    <t>split_M4_yellow_pnas.2206758120.sd10.csv</t>
  </si>
  <si>
    <t>split_M3_brown_pnas.2206758120.sd10.csv</t>
  </si>
  <si>
    <t>split_M2_blue_pnas.2206758120.sd10.csv</t>
  </si>
  <si>
    <t>split_M18_lightgreen_pnas.2206758120.sd10.csv</t>
  </si>
  <si>
    <t>split_M17_grey60_pnas.2206758120.sd10.csv</t>
  </si>
  <si>
    <t>split_Note_41380_2022_1714_MOESM5_ESM.csv</t>
  </si>
  <si>
    <t>split_varianceexplained.csv</t>
  </si>
  <si>
    <t>split_GWAS-circQTL.csv</t>
  </si>
  <si>
    <t>split_Geneset.csv</t>
  </si>
  <si>
    <t>split_trans-eQTLs_causality.csv</t>
  </si>
  <si>
    <t>split_independent.csv</t>
  </si>
  <si>
    <t>split_Note_41380_2022_1714_MOESM4_ESM.csv</t>
  </si>
  <si>
    <t>split_ASD-associatedSNPclump.csv</t>
  </si>
  <si>
    <t>split_IndependentcircQTL-circRNA.csv</t>
  </si>
  <si>
    <t>split_DEGsuniquetosubtypeⅢ.csv</t>
  </si>
  <si>
    <t>split_DEGsuniquetosubtypeⅡ.csv</t>
  </si>
  <si>
    <t>split_DEGsuniquetosubtypeⅠ.csv</t>
  </si>
  <si>
    <t>split_SupplementaryTable2.csv</t>
  </si>
  <si>
    <t>split_AssociationofDEGswithASD.csv</t>
  </si>
  <si>
    <t>split_SubtypeIIIDEGs.csv</t>
  </si>
  <si>
    <t>split_SubtypeIIDEGs.csv</t>
  </si>
  <si>
    <t>split_brown.csv</t>
  </si>
  <si>
    <t>split_blue.csv</t>
  </si>
  <si>
    <t>split_CAPTION.csv</t>
  </si>
  <si>
    <t>split_Day31.csv</t>
  </si>
  <si>
    <t>split_Day11.csv</t>
  </si>
  <si>
    <t>split_Sheet1_NIHMS705244-supplement-4.csv</t>
  </si>
  <si>
    <t>split_TableS2B.csv</t>
  </si>
  <si>
    <t>split_TableS2A.csv</t>
  </si>
  <si>
    <t>d2025-08-26\supp_data\35962193\41380_2022_1714_MOESM9_ESM.xlsx</t>
  </si>
  <si>
    <t>d2025-08-26\supp_data\35962193\41380_2022_1714_MOESM8_ESM.xlsx</t>
  </si>
  <si>
    <t>d2025-08-26\supp_data\35962193\41380_2022_1714_MOESM7_ESM.xlsx</t>
  </si>
  <si>
    <t>d2025-08-26\supp_data\37041460\12859_2023_5278_MOESM5_ESM.xlsx</t>
  </si>
  <si>
    <t>d2025-08-26\supp_data\37041460\12859_2023_5278_MOESM4_ESM.xlsx</t>
  </si>
  <si>
    <t>d2025-08-26\supp_data\28184278\13229_2017_117_MOESM1_ESM.xlsx</t>
  </si>
  <si>
    <t>d2025-08-26\supp_data\26186191\NIHMS705244-supplement-8.xlsx</t>
  </si>
  <si>
    <t>d2025-08-26\supp_data\26186191\NIHMS705244-supplement-7.xlsx</t>
  </si>
  <si>
    <t>d2025-08-26\supp_data\30545856\NIHMS1007359-supplement-Table_S5.xlsx</t>
  </si>
  <si>
    <t>d2025-08-26\supp_data\37704762\41586_2023_6473_MOESM9_ESM.txt</t>
  </si>
  <si>
    <t>d2025-08-26\supp_data\37704762\41586_2023_6473_MOESM8_ESM.txt</t>
  </si>
  <si>
    <t>d2025-08-26\supp_data\37704762\41586_2023_6473_MOESM7_ESM.txt</t>
  </si>
  <si>
    <t>d2025-08-26\supp_data\30545856\NIHMS1007359-supplement-Table_S8.xlsx</t>
  </si>
  <si>
    <t>d2025-08-26\supp_data\30545856\NIHMS1007359-supplement-Table_S7.xlsx</t>
  </si>
  <si>
    <t>d2025-08-26\supp_data\30545856\NIHMS1007359-supplement-Table_S3.xlsx</t>
  </si>
  <si>
    <t>d2025-08-26\supp_data\30545856\NIHMS1007359-supplement-Table_S2.xlsx</t>
  </si>
  <si>
    <t>d2025-08-26\supp_data\30545856\NIHMS1007359-supplement-Table_S1.xlsx</t>
  </si>
  <si>
    <t>d2025-08-26\supp_data\31097668\NIHMS1053005-supplement-Data_S5.xlsx</t>
  </si>
  <si>
    <t>d2025-08-26\supp_data\31097668\NIHMS1053005-supplement-Data_S4.xls</t>
  </si>
  <si>
    <t>d2025-08-26\supp_data\31097668\NIHMS1053005-supplement-Data_S3.xls</t>
  </si>
  <si>
    <t>d2025-08-26\supp_data\30545856\NIHMS1007359-supplement-Table_S4.xlsx</t>
  </si>
  <si>
    <t>d2025-08-26\supp_data\33243861\NIHMS1666890-supplement-Table_S1.csv</t>
  </si>
  <si>
    <t>d2025-08-26\supp_data\36323788\41586_2022_5377_MOESM3_ESM.xlsx</t>
  </si>
  <si>
    <t>d2025-08-26\supp_data\36323788\41586_2022_5377_MOESM10_ESM.xlsx</t>
  </si>
  <si>
    <t>d2025-08-26\supp_data\33243861\NIHMS1666890-supplement-Table_S3.xlsx</t>
  </si>
  <si>
    <t>d2025-08-26\supp_data\36323788\41586_2022_5377_MOESM6_ESM.xlsx</t>
  </si>
  <si>
    <t>d2025-08-26\supp_data\36323788\41586_2022_5377_MOESM5_ESM.xlsx</t>
  </si>
  <si>
    <t>d2025-08-26\supp_data\34535545\supp_078804.121_Supplementary_Tables.xlsx</t>
  </si>
  <si>
    <t>d2025-08-26\supp_data\33262327\41398_2020_1106_MOESM4_ESM.xlsx</t>
  </si>
  <si>
    <t>d2025-08-26\supp_data\33262327\41398_2020_1106_MOESM3_ESM.xlsx</t>
  </si>
  <si>
    <t>d2025-08-26\supp_data\33262327\41398_2020_1106_MOESM2_ESM.xlsx</t>
  </si>
  <si>
    <t>d2025-08-26\supp_data\33243861\NIHMS1666890-supplement-Table_S9.xlsx</t>
  </si>
  <si>
    <t>d2025-08-26\supp_data\36323788\41586_2022_5377_MOESM9_ESM.xlsx</t>
  </si>
  <si>
    <t>d2025-08-26\supp_data\36323788\41586_2022_5377_MOESM8_ESM.xlsx</t>
  </si>
  <si>
    <t>d2025-08-26\supp_data\35962193\41380_2022_1714_MOESM3_ESM.xlsx</t>
  </si>
  <si>
    <t>d2025-08-26\supp_data\35962193\41380_2022_1714_MOESM2_ESM.xlsx</t>
  </si>
  <si>
    <t>d2025-08-26\supp_data\36862688\pnas.2206758120.sd01.xlsx</t>
  </si>
  <si>
    <t>d2025-08-26\supp_data\36590292\Table_4.XLSX</t>
  </si>
  <si>
    <t>d2025-08-26\supp_data\36590292\Table_3.XLSX</t>
  </si>
  <si>
    <t>d2025-08-26\supp_data\36590292\Table_2.XLSX</t>
  </si>
  <si>
    <t>d2025-08-26\supp_data\35962193\41380_2022_1714_MOESM6_ESM.xlsx</t>
  </si>
  <si>
    <t>d2025-08-26\supp_data\35962193\41380_2022_1714_MOESM5_ESM.xlsx</t>
  </si>
  <si>
    <t>d2025-08-26\supp_data\36862688\pnas.2206758120.sd04.xlsx</t>
  </si>
  <si>
    <t>d2025-08-26\supp_data\26186191\NIHMS705244-supplement-6.xlsx</t>
  </si>
  <si>
    <t>d2025-08-26\supp_data\36862688\pnas.2206758120.sd10.xlsx</t>
  </si>
  <si>
    <t>d2025-08-26\supp_data\36862688\pnas.2206758120.sd09.xlsx</t>
  </si>
  <si>
    <t>d2025-08-26\supp_data\37041460\12859_2023_5278_MOESM1_ESM.xlsx</t>
  </si>
  <si>
    <t>d2025-08-26\supp_data\36862688\pnas.2206758120.sd14.xlsx</t>
  </si>
  <si>
    <t>d2025-08-26\supp_data\36862688\pnas.2206758120.sd13.xlsx</t>
  </si>
  <si>
    <t>d2025-08-26\supp_data\36862688\pnas.2206758120.sd12.xlsx</t>
  </si>
  <si>
    <t>d2025-08-26\supp_data\36862688\pnas.2206758120.sd11.xlsx</t>
  </si>
  <si>
    <t>d2025-08-26\supp_data\37041460\12859_2023_5278_MOESM3_ESM.xlsx</t>
  </si>
  <si>
    <t>d2025-08-26\supp_data\37041460\12859_2023_5278_MOESM2_ESM.xlsx</t>
  </si>
  <si>
    <t>d2025-08-26\supp_data\37704762\41586_2023_6473_MOESM6_ESM.txt</t>
  </si>
  <si>
    <t>d2025-08-26\supp_data\37704762\41586_2023_6473_MOESM5_ESM.txt</t>
  </si>
  <si>
    <t>d2025-08-26\supp_data\37704762\41586_2023_6473_MOESM4_ESM.txt</t>
  </si>
  <si>
    <t>d2025-08-26\supp_data\37704762\41586_2023_6473_MOESM3_ESM.xlsx</t>
  </si>
  <si>
    <t>d2025-08-26\supp_data\37704762\41586_2023_6473_MOESM1_ESM.xlsx</t>
  </si>
  <si>
    <t>d2025-08-26\supp_data\37041460\12859_2023_5278_MOESM6_ESM.xlsx</t>
  </si>
  <si>
    <t>d2025-08-26\supp_data\36323788\41586_2022_5377_MOESM4_ESM.xlsx</t>
  </si>
  <si>
    <t>d2025-08-26\supp_data\30545856\NIHMS1007359-supplement-Table_S6.xlsx</t>
  </si>
  <si>
    <t>d2025-08-26\supp_data\36323788\41586_2022_5377_MOESM7_ESM.xlsx</t>
  </si>
  <si>
    <t>d2025-08-26\supp_data\31097668\NIHMS1053005-supplement-Data_S2.xlsx</t>
  </si>
  <si>
    <t>d2025-08-26\supp_data\31097668\NIHMS1053005-supplement-Data_S1.xlsx</t>
  </si>
  <si>
    <t>d2025-08-26\supp_data\30545856\NIHMS1007359-supplement-Table_S9.xlsx</t>
  </si>
  <si>
    <t>d2025-08-26\supp_data\36862688\pnas.2206758120.sd03.xlsx</t>
  </si>
  <si>
    <t>d2025-08-26\supp_data\36862688\pnas.2206758120.sd02.xlsx</t>
  </si>
  <si>
    <t>d2025-08-26\supp_data\33243861\NIHMS1666890-supplement-Table_S2.xlsx</t>
  </si>
  <si>
    <t>d2025-08-26\supp_data\33243861\NIHMS1666890-supplement-Table_S10.xlsx</t>
  </si>
  <si>
    <t>d2025-08-26\supp_data\33243861\NIHMS1666890-supplement-Table_S8.csv</t>
  </si>
  <si>
    <t>d2025-08-26\supp_data\33243861\NIHMS1666890-supplement-Table_S7.xlsx</t>
  </si>
  <si>
    <t>d2025-08-26\supp_data\33243861\NIHMS1666890-supplement-Table_S6.xlsx</t>
  </si>
  <si>
    <t>d2025-08-26\supp_data\33243861\NIHMS1666890-supplement-Table_S5.csv</t>
  </si>
  <si>
    <t>d2025-08-26\supp_data\33243861\NIHMS1666890-supplement-Table_S4.xlsx</t>
  </si>
  <si>
    <t>d2025-08-26\supp_data\36862688\pnas.2206758120.sd08.xlsx</t>
  </si>
  <si>
    <t>d2025-08-26\supp_data\36862688\pnas.2206758120.sd07.xlsx</t>
  </si>
  <si>
    <t>d2025-08-26\supp_data\36862688\pnas.2206758120.sd06.xlsx</t>
  </si>
  <si>
    <t>d2025-08-26\supp_data\36862688\pnas.2206758120.sd05.xlsx</t>
  </si>
  <si>
    <t>d2025-08-26\supp_data\35962193\41380_2022_1714_MOESM4_ESM.xlsx</t>
  </si>
  <si>
    <t>d2025-08-26\supp_data\26186191\NIHMS705244-supplement-5.xlsx</t>
  </si>
  <si>
    <t>d2025-08-26\supp_data\26186191\NIHMS705244-supplement-4.xlsx</t>
  </si>
  <si>
    <t>d2025-08-26\supp_data\26186191\NIHMS705244-supplement-3.xlsx</t>
  </si>
  <si>
    <t>d2025-08-26\supp_data\26186191\NIHMS705244-supplement-2.xlsx</t>
  </si>
  <si>
    <t>Pval</t>
  </si>
  <si>
    <t>pvalBH_M4</t>
  </si>
  <si>
    <t>P-value</t>
  </si>
  <si>
    <t>Pvalue</t>
  </si>
  <si>
    <t>P-value relative to other subtypes</t>
  </si>
  <si>
    <t>p-value(CTRL * F * STS vs. CTRL * F * PAC)</t>
  </si>
  <si>
    <t>p-value(ASD * F * STG vs. ASD * F * PAC)</t>
  </si>
  <si>
    <t>p-value</t>
  </si>
  <si>
    <t>p</t>
  </si>
  <si>
    <t>B-H p-value</t>
  </si>
  <si>
    <t>B-H P-value_BSS</t>
  </si>
  <si>
    <t>ASD.p</t>
  </si>
  <si>
    <t>ASD.fdr</t>
  </si>
  <si>
    <t>P</t>
  </si>
  <si>
    <t>FDR</t>
  </si>
  <si>
    <t>P value, ASD vs CTL</t>
  </si>
  <si>
    <t>q value (PFC)</t>
  </si>
  <si>
    <t>q value</t>
  </si>
  <si>
    <t>p_GWAS</t>
  </si>
  <si>
    <t>DGE.fdr</t>
  </si>
  <si>
    <t>TWAS.P</t>
  </si>
  <si>
    <t>Pvalue (Wilcoxon; two-sided; nominal)</t>
  </si>
  <si>
    <t>Permutation_Pvalue (two sided; nominal)</t>
  </si>
  <si>
    <t>WholeCortex_ASD_FDR</t>
  </si>
  <si>
    <t>adjusted p-value</t>
  </si>
  <si>
    <t>pvalue</t>
  </si>
  <si>
    <t>PValue</t>
  </si>
  <si>
    <t>GWAS_pvalue</t>
  </si>
  <si>
    <t>trans-eQTL_pvalue</t>
  </si>
  <si>
    <t>p.value</t>
  </si>
  <si>
    <t>p-value(CTRL * M * STG vs. CTRL * M * PAC)</t>
  </si>
  <si>
    <t>p-value(ASD * M * STG vs. ASD * M * PAC)</t>
  </si>
  <si>
    <t>DTU.ASD.p.value</t>
  </si>
  <si>
    <t>ASD.p.value</t>
  </si>
  <si>
    <t>Fdr relative to other subtypes</t>
  </si>
  <si>
    <t>p-value of overlap</t>
  </si>
  <si>
    <t>PRS.P</t>
  </si>
  <si>
    <t>verdict</t>
  </si>
  <si>
    <t>p_val</t>
  </si>
  <si>
    <t>P-value (FDR-adjusted P)</t>
  </si>
  <si>
    <t>p.value (FDR corrected)</t>
  </si>
  <si>
    <t>FDR corrected p-value</t>
  </si>
  <si>
    <t>Wilcoxon_Pvalue_twosided</t>
  </si>
  <si>
    <t>Pr(&gt;|Z|)</t>
  </si>
  <si>
    <t>p_value</t>
  </si>
  <si>
    <t>PValue_gene</t>
  </si>
  <si>
    <t>RNAsnp_p_value</t>
  </si>
  <si>
    <t>P value (ASD vs CTL)</t>
  </si>
  <si>
    <t>GWAS pvalue</t>
  </si>
  <si>
    <t>GWAS P of the index SNP</t>
  </si>
  <si>
    <t>P value</t>
  </si>
  <si>
    <t>Fdr</t>
  </si>
  <si>
    <t>CorrectedPvalues</t>
  </si>
  <si>
    <t>HostGene</t>
  </si>
  <si>
    <t>Host gene symbol</t>
  </si>
  <si>
    <t>Gene Set</t>
  </si>
  <si>
    <t>Geneset</t>
  </si>
  <si>
    <t>Gene set</t>
  </si>
  <si>
    <t>Probeset ID</t>
  </si>
  <si>
    <t>Gene</t>
  </si>
  <si>
    <t>ModulName</t>
  </si>
  <si>
    <t>external_gene_id</t>
  </si>
  <si>
    <t>gene_name</t>
  </si>
  <si>
    <t>tf</t>
  </si>
  <si>
    <t>target</t>
  </si>
  <si>
    <t>Molecules</t>
  </si>
  <si>
    <t>Symbol</t>
  </si>
  <si>
    <t>Isoform</t>
  </si>
  <si>
    <t>TranscriptsUsageChangedIn</t>
  </si>
  <si>
    <t>Gene.symbol</t>
  </si>
  <si>
    <t>Feature</t>
  </si>
  <si>
    <t>Gene Symbol</t>
  </si>
  <si>
    <t>Gene name</t>
  </si>
  <si>
    <t>HGNC Symbol</t>
  </si>
  <si>
    <t>Transcript</t>
  </si>
  <si>
    <t>Gene_Symbol</t>
  </si>
  <si>
    <t>HGNC</t>
  </si>
  <si>
    <t>SingleCell_DE_Gene_Set</t>
  </si>
  <si>
    <t>Cell</t>
  </si>
  <si>
    <t>external_gene_name</t>
  </si>
  <si>
    <t>perturbation</t>
  </si>
  <si>
    <t>Int_Genes</t>
  </si>
  <si>
    <t>Gene ID</t>
  </si>
  <si>
    <t>genenames</t>
  </si>
  <si>
    <t>geneID</t>
  </si>
  <si>
    <t>symbol</t>
  </si>
  <si>
    <t>Gene_synbol</t>
  </si>
  <si>
    <t>intersection_genename</t>
  </si>
  <si>
    <t>Genes</t>
  </si>
  <si>
    <t>genename</t>
  </si>
  <si>
    <t>Gene_id</t>
  </si>
  <si>
    <t>ensembl_gene_id</t>
  </si>
  <si>
    <t>adult_BrainSpan_RNAseq_GeneSymbol</t>
  </si>
  <si>
    <t>ensembl_symbol</t>
  </si>
  <si>
    <t>feature</t>
  </si>
  <si>
    <t>GeneIso</t>
  </si>
  <si>
    <t>GenomicFeature</t>
  </si>
  <si>
    <t>lincRNA</t>
  </si>
  <si>
    <t>Module</t>
  </si>
  <si>
    <t>genes</t>
  </si>
  <si>
    <t>Probe name</t>
  </si>
  <si>
    <t>Name</t>
  </si>
  <si>
    <t>Gene symbol</t>
  </si>
  <si>
    <t>Gene synbol</t>
  </si>
  <si>
    <t>CategoryGenes</t>
  </si>
  <si>
    <t>GeneID</t>
  </si>
  <si>
    <t>Beta</t>
  </si>
  <si>
    <t>log2FC</t>
  </si>
  <si>
    <t>Subtype I logFC</t>
  </si>
  <si>
    <t>Logfc</t>
  </si>
  <si>
    <t>LogFC relative to other subtypes</t>
  </si>
  <si>
    <t>Fold-Change(CTRL * F * STS vs. CTRL * F * PAC)</t>
  </si>
  <si>
    <t>Fold-Change(ASD * F * STG vs. ASD * F * PAC)</t>
  </si>
  <si>
    <t>Fold Change</t>
  </si>
  <si>
    <t>beta</t>
  </si>
  <si>
    <t>logodds</t>
  </si>
  <si>
    <t>estimate</t>
  </si>
  <si>
    <t>OR</t>
  </si>
  <si>
    <t>ASD.loglr</t>
  </si>
  <si>
    <t>ASD.log2FC</t>
  </si>
  <si>
    <t>FC</t>
  </si>
  <si>
    <t>log2(FC) ASD vs CTL</t>
  </si>
  <si>
    <t>Fold change (PFC)</t>
  </si>
  <si>
    <t>Fold change</t>
  </si>
  <si>
    <t>b_GWAS</t>
  </si>
  <si>
    <t>DGE.log2FC</t>
  </si>
  <si>
    <t>TWAS.Z</t>
  </si>
  <si>
    <t>logFC</t>
  </si>
  <si>
    <t>Topic1</t>
  </si>
  <si>
    <t>Diff</t>
  </si>
  <si>
    <t>WholeCortex_ASD_logFC</t>
  </si>
  <si>
    <t>log2FoldChange</t>
  </si>
  <si>
    <t>Estimate</t>
  </si>
  <si>
    <t>Fold-Change(CTRL * M * STG vs. CTRL * M * PAC)</t>
  </si>
  <si>
    <t>Fold-Change(ASD * M * STG vs. ASD * M * PAC)</t>
  </si>
  <si>
    <t>avg_logFC</t>
  </si>
  <si>
    <t>avg_log2FC</t>
  </si>
  <si>
    <t>Group_Contrast_logFC</t>
  </si>
  <si>
    <t>stat</t>
  </si>
  <si>
    <t>Effect_Size</t>
  </si>
  <si>
    <t>loglr</t>
  </si>
  <si>
    <t>Gene_abundance_association_with_GEI</t>
  </si>
  <si>
    <t>logFC_site</t>
  </si>
  <si>
    <t>mean_logFC_gene</t>
  </si>
  <si>
    <t>trans-eGene Beta</t>
  </si>
  <si>
    <t>LogFC</t>
  </si>
  <si>
    <t>RNAseq log2FC</t>
  </si>
  <si>
    <t>The provided CSV header does not contain columns for gene names, p-values, or log fold changes.  The header row suggests the data is related to circRNA, miRNA, and gene interactions, potentially with relevance to ASD, but the necessary columns for a gene expression analysis are absent.</t>
  </si>
  <si>
    <t>The provided CSV header does not contain columns for gene names, p-values, or log fold changes.  The header suggests data related to circRNAs, miRNAs, and trans-eGenes, but not gene expression data in the format described.</t>
  </si>
  <si>
    <t>The provided CSV content is empty.  Therefore, it cannot be determined whether it contains autism or ASD gene expression data with the specified columns.</t>
  </si>
  <si>
    <t>The provided CSV header does not contain columns named 'pvalue' or 'log fold change'.  While it includes gene information in the 'HostGene' column, the other required columns for assessing differential gene expression are absent. Therefore, it cannot be determined if this data represents autism or ASD gene expression.</t>
  </si>
  <si>
    <t>The provided CSV data does not contain autism or ASD gene expression data. While it includes columns for p-values ('Pval') and log fold changes ('Beta'), the 'Host gene symbol' column seems to contain gene names, but the data does not relate to autism or ASD.  The presence of other columns such as 'circRNA_ID', 'Chr', and 'Donor' suggests that this data is related to circular RNAs and not gene expression in the context of autism.</t>
  </si>
  <si>
    <t>The provided CSV data does not contain autism or ASD gene expression data. While it includes columns for p-values ('pvalBH_M4') and what could be interpreted as gene names ('Host gene symbol'), it lacks log fold change data.  Furthermore, the data appears to be related to circRNAs and their host genes, not directly to autism or ASD.</t>
  </si>
  <si>
    <t>The CSV data contains a header row and columns with gene names ('Host gene symbol'), log fold changes ('log2FC'), and p-values ('P-value').  Each row represents a single gene.</t>
  </si>
  <si>
    <t>The provided CSV content is empty.  Therefore, it is impossible to determine if it contains autism or ASD gene expression data with the specified columns (gene name, p-value, log fold change).</t>
  </si>
  <si>
    <t>The provided CSV data does not contain gene-level data suitable for autism or ASD analysis. While it includes log fold changes (in multiple columns) and a column named 'Gene Set', the 'Gene Set' column contains gene sets, not individual gene names.  The analysis requires individual gene identifiers, not sets of genes.</t>
  </si>
  <si>
    <t>The provided CSV data contains a header row and columns named 'Geneset', 'Logfc', and 'Pvalue' which correspond to gene names, log fold changes, and p-values respectively.  The data appears to represent gene expression changes.</t>
  </si>
  <si>
    <t>The provided CSV data does not contain a column with gene names. Instead, it has a 'Geneset' column which contains gene sets (e.g., 'GOMF_PROTEIN_FOLDING_CHAPERONE'), not individual gene names.  While it includes 'Logfc' (log fold change) and 'Pvalue' columns, the absence of a column listing individual gene names prevents it from meeting the specified criteria.</t>
  </si>
  <si>
    <t>The provided text is not a CSV data section; it's a description of a supplementary table.  There is no gene data, p-values, or log fold changes present. Therefore, it cannot be determined if the data contains autism or ASD gene expression data.</t>
  </si>
  <si>
    <t>The provided CSV data does not contain a column with individual gene names.  The 'Gene set' column contains gene sets (e.g., GOBP_SYNAPTIC_TRANSMISSION_CHOLINERGIC), not individual gene identifiers.  While it includes log fold change ('LogFC relative to other subtypes', 'LogFC relative to controls') and p-value ('P-value relative to other subtypes', 'P-value relative to controls') columns, the absence of a column with individual gene names prevents it from meeting the specified criteria.</t>
  </si>
  <si>
    <t>The CSV header contains columns 'LogFC relative to other subtypes' and 'P-value relative to other subtypes', which represent log fold changes and p-values respectively.  The 'Gene set' column appears to contain gene names. While there are additional columns, the required data is present.</t>
  </si>
  <si>
    <t>The provided CSV snippet does not contain a column with individual gene names.  The 'Gene set' column appears to contain gene sets (groups of genes), not individual gene names.  The presence of 'ASD genes/total genes' suggests the data relates to ASD, but the structure doesn't match the specified format of individual genes with p-values and log fold changes.</t>
  </si>
  <si>
    <t>The provided CSV data does not appear to contain autism or ASD gene expression data. While it includes p-values and fold changes, the 'Probeset ID' column contains identifiers that are not standard gene names.  The description in the header also indicates a comparison between control groups (STS vs PAC) rather than an autism-related comparison.</t>
  </si>
  <si>
    <t>The provided CSV data does not contain a consistent gene name column.  While there is a 'Gene' column, the values in this column (e.g., 'HBII-52-39_x_st', 'U71d_st', 'hsa-miR-4701-5p') do not appear to be standard gene symbols.  Furthermore, the last row has a missing value in the 'Gene' column.  The presence of 'p-value' and 'Fold-Change' columns suggests the data might relate to gene expression, but the inconsistent and non-standard gene identifiers prevent a definitive 'true' answer.</t>
  </si>
  <si>
    <t>The provided CSV data does not contain gene expression data in the format described. While it includes p-values and fold changes, the 'gene' column appears to contain miRNA identifiers, not gene names.  The header row is present in the first row, so no rows need to be skipped.</t>
  </si>
  <si>
    <t>The provided CSV data does not contain gene names as individual identifiers in a column.  Instead, it appears to contain miRNA identifiers (e.g., 'hsa-miR-219-2-3p_st').  While it includes p-values and fold changes, the lack of a column with single gene identifiers prevents it from meeting the specified criteria.</t>
  </si>
  <si>
    <t>The provided CSV header does not contain columns for gene names, p-values, or log fold changes.  The header row describes a table of top connected genes within different modules, mentioning differentially expressed genes at specific time points (TD11 and TD31), but doesn't provide the numerical data (p-values and log fold changes) needed to assess differential expression at the gene level.</t>
  </si>
  <si>
    <t>The provided CSV data does not contain any gene names, p-values, or log fold changes.  The header row only contains 'Unnamed' columns, indicating a lack of meaningful column headers and data.</t>
  </si>
  <si>
    <t>The provided CSV data does not contain gene expression data.  The header row and subsequent rows contain metadata describing the overlap results rather than gene-specific information (p-values, log fold changes, gene names). There are no columns with names that clearly indicate p-values or log fold changes.</t>
  </si>
  <si>
    <t>The provided CSV data does not contain any meaningful column headers or data related to gene names, p-values, or log fold changes.  All columns are named 'Unnamed: *', indicating a lack of properly defined headers. Therefore, it cannot be determined if the data represents autism or ASD gene expression.</t>
  </si>
  <si>
    <t>The provided CSV data contains a header row and columns with gene names, p-values, and what can be interpreted as log fold changes.  The 'gene' column contains single gene identifiers in each row. The 'p' column represents p-values, and the 'beta' column likely represents log fold changes (although it's not explicitly labeled as such). The data appears to include information related to ASD (Autism Spectrum Disorder).</t>
  </si>
  <si>
    <t>The provided CSV data does not contain log fold change or p-value columns.  Therefore, it cannot be used to assess differential gene expression related to autism or ASD.</t>
  </si>
  <si>
    <t>The provided CSV data contains a header row and includes columns for 'ensembl_gene_id' (which can be used as a gene identifier), and numerous other columns. While there are no explicit 'pval' or 'lfc' columns, the presence of a gene identifier column and the structure strongly suggest that additional columns could contain p-values and log fold changes.  The example data shows a single gene identifier per row.</t>
  </si>
  <si>
    <t>The provided CSV header does not contain columns for log fold changes (lfc) and p-values (pval), which are necessary to determine differential gene expression.  While it includes a 'gene_name' column, the presence of other columns related to gene annotation suggests this is a broader gene annotation table rather than a focused differential expression analysis result.</t>
  </si>
  <si>
    <t>The provided CSV data contains a header row and columns for gene names ('tf'), p-values ('pval'), and log fold changes ('logodds').  While 'logodds' is used instead of 'log fold change', it serves the same purpose. Each row appears to represent a single gene.</t>
  </si>
  <si>
    <t>The provided CSV data contains a header row and includes columns for 'pval' (p-values) and 'logodds' (which can be interpreted as log fold changes).  A 'gene' column is not explicitly present, but the 'tf' column appears to contain gene names. There are no examples of multiple gene identifiers in a single cell of the 'tf' column.</t>
  </si>
  <si>
    <t>The provided CSV data does not appear to contain autism or ASD gene expression data. While it includes columns for p-values ('pval') and what could be interpreted as log fold changes ('estimate'), there is no clear indication that these values relate to autism or ASD.  Furthermore, the 'gene' column is not explicitly present; the 'target' column seems to contain gene names, but the example shows that some entries in this column may contain multiple gene identifiers (e.g., BAIAP2L1 has two regions listed).</t>
  </si>
  <si>
    <t>The provided CSV data does not contain gene expression data with individual gene names, p-values, and log fold changes for autism or ASD.  The data appears to be a list of enriched canonical pathways related to ASD, with associated p-values and a list of multiple genes involved in each pathway.  The 'Molecules' column contains multiple gene identifiers separated by commas, which violates the requirement of a single gene identifier per row.</t>
  </si>
  <si>
    <t>The provided CSV data does not contain log fold change values or p-values.  While it includes a 'Symbol' column that could represent gene names, the crucial columns for differential gene expression analysis are missing.</t>
  </si>
  <si>
    <t>The provided CSV data does not contain gene expression data. It appears to be a list of pathways, not individual genes with associated p-values and log fold changes.</t>
  </si>
  <si>
    <t>The provided CSV data does not contain gene expression data in the specified format. While it includes p-values (B-H p-value) and seems to list molecules (which could be interpreted as genes), the 'Molecules' column contains multiple gene identifiers separated by commas within a single cell.  This violates the requirement of each row representing a single gene.</t>
  </si>
  <si>
    <t>The provided CSV header does not contain columns named 'gene', 'pval', or 'lfc' (or similar names representing gene names, p-values, and log fold changes).  While columns with p-values and ratios are present, there is no clear indication of gene names. The 'Molecules' column appears to contain multiple gene identifiers separated by commas, which violates the single gene per row requirement.</t>
  </si>
  <si>
    <t>The provided CSV data does not appear to contain autism or ASD gene expression data. While it includes columns for p-values ('B-H P-value_BSS') and what seems to be a list of molecules ('Molecules'), it lacks a clear column specifying individual gene names.  The 'Molecules' column contains multiple gene identifiers within a single cell, which is not consistent with the requirement of each row representing a single gene.</t>
  </si>
  <si>
    <t>The provided CSV data does not contain gene expression data in the specified format.  While it includes p-values (B-H P-value_BSS) and what seems to be a list of molecules, it does not have a column with individual gene names. The 'Molecules' column contains multiple gene identifiers in a single cell, violating the requirement of one gene per row.</t>
  </si>
  <si>
    <t>The provided CSV data does not contain gene expression data suitable for analysis. While it includes p-values and what seems to be a list of genes, the 'Molecules' column contains multiple gene identifiers separated by commas within a single cell, violating the requirement of one gene per row.  The data also appears to be pathway analysis results rather than individual gene expression data.</t>
  </si>
  <si>
    <t>The provided CSV header does not contain columns named 'gene', 'pval', or 'lfc'.  While it includes a 'B-H p-value' column which could represent p-values, there is no log fold change column and the 'Molecules' column contains multiple gene identifiers per cell, rather than one gene per row.</t>
  </si>
  <si>
    <t>The provided CSV data does not contain gene expression data (p-values and log fold changes).  It appears to be metadata about brain samples, including diagnosis (ASD or CTL), sex, age, and RNA integrity number (RIN). There is no information on gene expression levels.</t>
  </si>
  <si>
    <t>The provided CSV data does not contain gene expression data (p-values and log fold changes).  It appears to be metadata about brain samples, including diagnosis (ASD, CTL, SCZ), sex, age, and RNA integrity number (RIN). There is no information on gene expression levels.</t>
  </si>
  <si>
    <t>The provided CSV data does not contain log fold change values or p-values.  It appears to be a list of primers and PCR conditions for genes associated with ASD, but it lacks the quantitative data necessary to assess gene expression changes.</t>
  </si>
  <si>
    <t>The provided CSV data does not contain log fold change values or p-values.  The columns present relate to PCR primer design and amplification, not gene expression analysis.</t>
  </si>
  <si>
    <t>The provided CSV content is not gene expression data. It appears to be a description of experimental methods and primer sequences related to splicing and isoform validation in ASD, BD, and SCZ, not a table of gene expression data with p-values and log fold changes.</t>
  </si>
  <si>
    <t>The provided CSV data does not contain log fold change values.  While it includes gene lists, p-values, and other statistics related to enrichment analysis, it lacks the necessary log fold change data to represent gene expression changes. The presence of a header row is confirmed, and the 'gene' column is not present.  The data appears to be from a gene set enrichment analysis rather than differential gene expression analysis.</t>
  </si>
  <si>
    <t>The provided CSV data contains a header row and columns for 'pval' (p-value) and a column that can be interpreted as log fold change ('OR', odds ratio, which is related to log fold change).  It also has a column 'TranscriptsUsageChangedIn' which contains ASD (Autism Spectrum Disorder) as a category. Each row represents a different condition and gene expression change.</t>
  </si>
  <si>
    <t>The provided CSV data does not contain gene expression data suitable for analysis. While it includes columns that might represent p-values and log fold changes (e.g., 'ASD.1', 'BD.1', 'SCZ.1'), there is no column with gene names.  The first column 'Unnamed: 0' appears to be an index and not gene identifiers. The 'ASD', 'BD', and 'SCZ' columns seem to represent counts, not log fold changes or p-values. The data also lacks a clear header row identifying the columns' contents.</t>
  </si>
  <si>
    <t>The CSV contains a header row and columns named 'Gene.symbol', 'ASD.p', and 'ASD.loglr', which represent gene names, p-values, and log fold changes respectively, related to ASD.  The presence of these columns, even with additional columns, satisfies the criteria.</t>
  </si>
  <si>
    <t>The provided CSV header does not contain columns with the names 'pval' and 'lfc' (or similar names representing p-values and log fold changes). While it includes a 'Gene.symbol' column and an 'ASD.loglr' column which seems to represent log-likelihood ratio, it lacks a column explicitly containing p-values.</t>
  </si>
  <si>
    <t>The header row contains columns 'ASD.log2FC', 'ASD.fdr', and 'gene_name' (or 'updated_gene_name_gencodeV27' which seems to be a more updated version).  'ASD.log2FC' represents log fold changes, 'ASD.fdr' represents adjusted p-values (a common way to represent p-values in differential expression analysis), and 'gene_name' contains gene identifiers.  The presence of these columns strongly suggests that the file contains autism (ASD) gene expression data, with each row representing a single gene.</t>
  </si>
  <si>
    <t>The provided CSV header does not contain columns for log fold changes or p-values, which are necessary to assess differential gene expression.  While it includes a 'gene_name' column, the presence of other columns like 'chr', 'start', 'stop', etc., suggests this is genomic annotation data rather than differential expression analysis results.</t>
  </si>
  <si>
    <t>The CSV data contains columns named 'Disease 1', 'Disease 2', 'Feature', 'Direction', 'OR', and 'P'.  While 'OR' is likely the odds ratio and not a log fold change, the presence of 'P' (p-value) and a 'Feature' column that includes 'Gene' entries strongly suggests that this data includes gene expression information related to ASD (autism spectrum disorder).  The data appears to be comparing ASD to other diseases (SCZ and BD).</t>
  </si>
  <si>
    <t>The provided CSV data does not contain gene expression data (p-values and log fold changes) for individual genes.  The columns present relate to GWAS (Genome-wide association study) results, focusing on enrichment and association statistics for genomic regions rather than individual gene expression levels. There is no column with gene names.</t>
  </si>
  <si>
    <t>The provided CSV data does not contain log fold changes.  While it includes data related to autism (ASD) and contains p-values (in the 'P' column), there is no column representing log fold changes, which are essential for gene expression analysis.  The data appears to be related to odds ratios and gene sets associated with ASD, not gene expression levels.</t>
  </si>
  <si>
    <t>The provided CSV data contains columns related to gene expression in the context of ASD (Autism Spectrum Disorder).  Specifically, it includes a 'Feature' column which seems to represent the type of expression data (DGE likely meaning Differential Gene Expression), a 'P' column representing p-values, and an implicit log fold change which can be inferred from the 'OR' (odds ratio) column and 'DirectionOfDE' column. The 'Dataset' column indicates the source of the data. While the 'Gene' column is absent, the 'Feature' column combined with the other columns strongly suggests that each row represents a gene's expression data.</t>
  </si>
  <si>
    <t>The provided CSV data does not contain autism or ASD gene expression data as described. While it includes columns for 'Gene Symbol', 'FC' (which could represent log fold change), and an FDR column (which is related to p-values), the 'Gene Symbol' column contains multiple gene symbols separated by semicolons in some rows (e.g., 'TMEM120A; STYXL1').  This violates the requirement that each row should represent a single gene.</t>
  </si>
  <si>
    <t>The provided CSV data does not contain log fold change values.  While it includes gene symbols ('Gene Symbol') and potentially relevant information like phenotype ('Phenotype') and PMID ('PMID'), the absence of log fold changes prevents it from being considered gene expression data.  The presence of multiple protein variants in some rows (e.g., 'p.T674K; p.T542K') indicates that a single row may contain multiple gene identifiers, but this is not the primary reason for the 'false' answer.</t>
  </si>
  <si>
    <t>The provided CSV data does not contain log fold change values.  While it includes gene names ('Gene name'), p-values are not present, and there is no column with log fold changes (lfc). The presence of a 'Direction of change' column suggests differential expression is being analyzed, but without numerical log fold change data, a quantitative analysis is impossible.</t>
  </si>
  <si>
    <t>The CSV data contains a header row and columns with gene names ('HGNC Symbol'), log fold changes ('log2(FC) ASD vs CTL'), and p-values ('P value, ASD vs CTL').  The presence of 'ASD vs CTL' in the column headers strongly suggests that the data relates to autism (ASD).</t>
  </si>
  <si>
    <t>The provided CSV data does not contain autism or ASD-related information. While it includes gene names, p-values (represented as 'q value'), and fold changes, there's no indication that these genes are specifically related to autism spectrum disorder.  The presence of multiple columns with fold changes and q-values for different brain regions (PFC and ACC) suggests a broader gene expression study rather than one focused on autism.</t>
  </si>
  <si>
    <t>The provided CSV data does not contain autism or ASD-related information (e.g., no mention of autism, ASD, or related phenotypes). While it includes columns for gene names ('Gene name'), fold changes ('Fold change'), and a q-value (which can be considered analogous to a p-value), the absence of direct autism/ASD-related information makes it unsuitable for the specified purpose.</t>
  </si>
  <si>
    <t>The CSV file contains a header row, and columns for gene names ('Gene name'), log fold changes ('FC'), and p-values ('FDR'). Each row represents a single gene.</t>
  </si>
  <si>
    <t>The provided CSV data does not contain log fold changes.  While it includes gene identifiers (Transcript column), p-values (P column), and is related to ASD (GWAS column), the absence of log fold change data means it does not meet the specified criteria for gene expression data.</t>
  </si>
  <si>
    <t>The provided CSV data does not contain log fold change values.  While it includes gene names (in the 'Gene' column) and p-values (in the 'P' column), there is no column with log fold changes. Therefore, it does not meet the criteria for gene expression data with log fold changes.</t>
  </si>
  <si>
    <t>The provided CSV data does not contain log fold change values.  While it includes p-values (in the 'p_GWAS', 'p_eQTL', 'p_SMR', 'p_SMR_multi', and 'p_HEIDI' columns), there is no column with log fold changes.  The 'Gene' column appears to contain gene names, but the presence of multiple identifiers in some cells (e.g., the first row) violates the requirement of a single gene identifier per row.</t>
  </si>
  <si>
    <t>The provided CSV data contains a header row and includes columns for gene names ('Gene'), p-values ('p_GWAS' and 'p_eQTL'), and what seems to be log fold changes ('b_GWAS', 'b_eQTL', and 'b_SMR').  Each row represents a single gene. Although there are other columns present, the required columns are present.</t>
  </si>
  <si>
    <t>The provided CSV data contains a header row and includes columns for gene names ('Gene'), p-values ('p_GWAS' and 'p_eQTL'), and what seems to be log fold changes ('b_GWAS', 'b_eQTL', 'b_SMR').  Each row represents a single gene. Although there are other columns present, the required columns are present and the data appears to be suitable for analysis of gene expression related to a trait (in this case, potentially schizophrenia given the 'SCZ' prefix).</t>
  </si>
  <si>
    <t>The provided CSV data does not contain a column with p-values explicitly named 'pval'. While it includes columns like 'TWAS.P' and 'JOINT.P', which might represent p-values, the question requires a column named 'pval'.  Additionally, the 'gene' column is not explicitly named 'gene', but rather 'gene_name'.  Finally, there is an example of a gene entry ('C1orf') that is incomplete or contains multiple identifiers, indicating a potential data quality issue.</t>
  </si>
  <si>
    <t>The provided CSV header contains columns named "Gene_Symbol", "DGE.log2FC", and "DGE.fdr".  "Gene_Symbol" appears to represent the gene name, "DGE.log2FC" likely represents the log fold change, and "DGE.fdr" is related to p-values (although not directly a p-value, it's a common way to represent significance). The presence of these three columns, along with a header row, satisfies the criteria.</t>
  </si>
  <si>
    <t>The provided CSV data contains a header row and includes columns with gene names ('gene_name'), p-values ('TWAS.P'), and log fold changes ('DGE.log2FC').  Each row represents a single gene.</t>
  </si>
  <si>
    <t>The provided CSV data contains a header row and columns that include gene names (HGNC), p-values (TWAS.P, SMR.P), and what seems to be log fold changes (TWAS.Z).  The 'HGNC' column contains single gene identifiers in the example rows.</t>
  </si>
  <si>
    <t>The provided text is not a CSV file. It appears to be HTML code for a webpage, not data suitable for analysis.  Therefore, it's impossible to determine if it contains the requested gene expression data.</t>
  </si>
  <si>
    <t>The provided CSV data does not contain log fold changes (lfc) or p-values (pval) which are necessary to assess gene expression changes.  While it includes a 'Gene Symbol' column, the data appears to be focused on genetic variants and their annotations rather than gene expression analysis.</t>
  </si>
  <si>
    <t>The provided CSV data does not contain log fold changes (lfc) or p-values (pval) which are necessary to assess gene expression changes.  The data appears to be related to genetic variants and their annotations, not gene expression.</t>
  </si>
  <si>
    <t>The provided CSV data does not contain log fold changes (lfc) or p-values (pval) which are necessary to assess gene expression changes.  The 'Gene Symbol' column appears to contain gene names, but the data also shows that some rows contain multiple gene identifiers within a single cell (e.g., PPT1 has multiple transcript variants listed).</t>
  </si>
  <si>
    <t>The provided CSV data does not contain log fold changes (lfc) or p-values (pval) which are necessary to assess gene expression changes.  The file contains genetic variant information, not gene expression data.</t>
  </si>
  <si>
    <t>The provided CSV data does not contain the necessary columns ('log fold change', 'p-value', and 'gene name') to represent gene expression data related to autism or ASD.  The header row indicates that the file contains genetic variant information, not gene expression data.</t>
  </si>
  <si>
    <t>The provided CSV data does not contain log fold changes (lfc) or p-values (pval) which are necessary to assess gene expression changes.  While it includes a 'Gene Symbol' column, the data appears to describe genetic variants and their characteristics rather than gene expression data.</t>
  </si>
  <si>
    <t>The provided CSV header does not contain columns for gene names, p-values, or log fold changes.  Therefore, it cannot be determined if the data contains autism or ASD gene expression data as described.</t>
  </si>
  <si>
    <t>The provided CSV header does not contain columns named 'gene', 'pval', or 'lfc' (or similar names representing gene names, p-values, and log fold changes).  Therefore, the file does not appear to contain the required data.</t>
  </si>
  <si>
    <t>The provided CSV header does not contain the necessary columns ('gene', 'pval', 'lfc') for gene expression data analysis.  The content shows metadata descriptions, not the actual gene expression data itself.</t>
  </si>
  <si>
    <t>The provided CSV data does not contain p-values or log fold changes.  The header row indicates gene names for different cell types (e.g., EX_genes, IN_genes), but there are no columns explicitly labeled as containing p-values or log fold changes. Therefore, it does not meet the criteria for containing autism or ASD gene expression data as specified.</t>
  </si>
  <si>
    <t>The provided CSV data does not appear to contain autism or ASD gene expression data. While it includes p-values (in the 'P' column) and seems to have gene information (in the 'SingleCell_DE_Gene_Set' column), there are no log fold changes explicitly present.  Furthermore, the data describes a bulk module overlap analysis with single-cell RNA sequencing data, not gene expression directly related to autism.</t>
  </si>
  <si>
    <t>The provided CSV header does not contain columns with gene names, p-values, or log fold changes.  The columns present describe clusters and genes passing certain FDR thresholds, but not individual gene data with associated p-values and log fold changes.</t>
  </si>
  <si>
    <t>The CSV file contains a header row and columns for gene names ('gene'), p-values ('P-value'), and log fold changes ('logFC'). Each row represents a single gene.</t>
  </si>
  <si>
    <t>The provided CSV data does not contain gene expression data related to autism or ASD.  The header row and subsequent rows describe an ANOVA analysis of cell proportions, not gene expression levels.  There are no columns containing gene names, p-values representing differential expression, or log fold changes.</t>
  </si>
  <si>
    <t>The provided CSV data does not contain log fold change or p-value columns.  While it has a column named 'ASD' and 'CTL', these appear to represent counts rather than log fold changes. There is no column with p-values.  The 'gene' column is also not clearly defined; the first column is named 'Unnamed: 0', which is not a gene name.</t>
  </si>
  <si>
    <t>The provided CSV data does not contain columns for log fold changes or p-values.  While it has a 'gene' column (or at least a column that could represent gene identifiers), the crucial columns for differential expression analysis are missing.  Additionally, some gene identifiers (e.g., '7_TAGGCA') appear incomplete or truncated, suggesting potential data quality issues.</t>
  </si>
  <si>
    <t>The provided CSV data contains a header row with a 'Gene' column and other columns that could represent log fold changes and p-values (although p-values are not explicitly labeled). Each row appears to represent a single gene.</t>
  </si>
  <si>
    <t>The provided CSV data does not contain columns for log fold changes or p-values.  The header row indicates that the data is related to topics, not gene expression analysis.  Additionally, while the 'Cell' column seems to contain identifiers, the presence of a row with '9_TTCCCAG' (lacking a second identifier) suggests that the data structure is not consistent with the expectation of a single gene identifier per row.</t>
  </si>
  <si>
    <t>The provided CSV data does not contain columns for gene names, p-values, and log fold changes.  The header row indicates that the data is related to topics, not gene expression.  Additionally, while the 'gene' column (assuming the first column is the gene column) contains multiple identifiers, this is not the primary reason for the 'false' answer. The absence of the required columns is the main reason.</t>
  </si>
  <si>
    <t>The provided CSV data contains a header row with a 'Gene' column and other columns that could represent log fold changes and p-values (although p-values are not explicitly present). Each row appears to represent a single gene.</t>
  </si>
  <si>
    <t>The provided CSV data does not contain columns for gene names, p-values, and log fold changes.  The header row indicates that the data is related to topics, not gene expression.  Furthermore, some rows have missing data (e.g., row 6).</t>
  </si>
  <si>
    <t>The provided CSV data does not contain columns for gene names, p-values, or log fold changes.  The columns present are 'Allen_ID', 'Allen_Acronym', and 'Matched_BA', which are not relevant to gene expression analysis in the context of autism or ASD.</t>
  </si>
  <si>
    <t>The provided CSV data does not contain a column with gene names.  The 'Comparison' column appears to describe brain regions, not genes.  While p-values and what seems to be a difference measure are present, the absence of a gene column prevents it from being considered gene expression data.</t>
  </si>
  <si>
    <t>The provided CSV data does not contain columns with gene names, p-values, or log fold changes.  The columns present relate to comparisons between groups (ASD and CTL), providing mean differences, standard deviations, and confidence intervals. There is no information on individual gene expression levels.</t>
  </si>
  <si>
    <t>The provided CSV data does not contain gene names, p-values, and log fold changes as separate columns for individual genes.  The first column appears to represent a comparison between brain regions, not individual genes. The other columns seem to represent statistical results of the comparison, not gene-specific data.</t>
  </si>
  <si>
    <t>The provided CSV data does not contain gene expression data for autism or ASD.  The columns represent comparisons between brain regions (e.g., BA41-42-22 - BA9), a numerical value (possibly representing a count of differentially expressed genes), a p-value, and sample sizes for two groups. There is no column listing individual gene names.</t>
  </si>
  <si>
    <t>The provided CSV header does not contain columns for gene names, p-values, and log fold changes.  The header suggests the data focuses on regional comparisons and permutation p-values related to attenuated transcriptomic regional identity (ARI) in ASD, not individual gene-level data.</t>
  </si>
  <si>
    <t>The provided CSV header contains columns 'WholeCortex_ASD_logFC' (log fold change) and 'WholeCortex_ASD_FDR' (likely representing adjusted p-values related to ASD).  It also includes 'external_gene_name' which contains gene names.  Therefore, the file appears to contain autism-related gene expression data, with each row representing a gene.</t>
  </si>
  <si>
    <t>The provided CSV header contains columns 'external_gene_name' which can be considered as the gene name column, 'WholeCortex_ASD_logFC' representing log fold changes for ASD in the whole cortex, and 'WholeCortex_ASD_FDR' which can be interpreted as the p-value column (FDR is a method for adjusting p-values).  The presence of these three data types indicates that the file contains relevant data.</t>
  </si>
  <si>
    <t>The provided CSV header only contains metadata describing the data, not the actual gene expression data itself.  It mentions 'DEGene_Statistics' and 'DEIsoform_Statistics' which suggest differential expression data exists elsewhere, but the data itself is absent.</t>
  </si>
  <si>
    <t>The provided CSV content is metadata describing tables, not the actual gene expression data itself.  It does not contain any gene names, p-values, or log fold changes.</t>
  </si>
  <si>
    <t>The provided CSV data does not contain autism or ASD gene expression data. While it includes gene symbols (in the 'Symbol' column), it lacks log fold change and p-value columns necessary for differential gene expression analysis.  Furthermore, the 'Symbol' column contains multiple gene identifiers in some rows, indicating that each row does not represent a single gene.</t>
  </si>
  <si>
    <t>The provided CSV header does not contain columns for gene names, p-values, or log fold changes.  The header shows columns related to a PANTHER Overrepresentation Test, not gene expression data.</t>
  </si>
  <si>
    <t>The provided CSV data contains a header row and columns for gene names ('Gene name'), log fold changes ('log2FoldChange'), and adjusted p-values ('adjusted p-value'). Each row represents a single gene.</t>
  </si>
  <si>
    <t>The provided CSV data contains a header row and columns for gene names ('Gene name'), log fold changes ('log2FoldChange'), and adjusted p-values ('adjusted p-value').  Each row represents a single gene. The presence of a 'baseMean' and other columns does not invalidate the presence of the required data.</t>
  </si>
  <si>
    <t>The provided CSV data contains a header row and columns named 'gene' (although it's implicitly represented as 'perturbation'), 'pval', and a column representing log fold changes ('Estimate').  Each row appears to represent a single gene with its associated p-value and effect size.</t>
  </si>
  <si>
    <t>The provided CSV data does not contain gene expression data, p-values, or log fold changes.  The columns represent brain areas and their corresponding abbreviations, not gene information.</t>
  </si>
  <si>
    <t>The provided CSV data does not contain gene expression data related to autism or ASD.  The columns represent brain areas, not genes, and there are no p-values or log fold changes present.</t>
  </si>
  <si>
    <t>The provided CSV header does not contain columns named 'gene', 'pval', or 'lfc' (or similar names like 'p-value' or 'logFC').  Therefore, it does not meet the criteria for containing gene expression data with p-values and log fold changes.</t>
  </si>
  <si>
    <t>The provided CSV header does not contain columns for gene names, p-values, or log fold changes.  The content appears to be descriptive metadata about the dataset rather than the data itself.</t>
  </si>
  <si>
    <t>The provided CSV data does not appear to contain autism or ASD gene expression data in the requested format. While it includes columns that could potentially represent gene names ('Int_Genes'), p-values ('P'), and potentially log fold changes (though not explicitly labeled as such), the 'Int_Genes' column contains multiple gene identifiers separated by commas in some rows.  This violates the single gene per row requirement.  Additionally, the header row is not clearly descriptive of the data's purpose, and the file seems to be related to gene modules and perturbation experiments rather than direct ASD gene expression analysis.</t>
  </si>
  <si>
    <t>The provided CSV data does not contain gene expression data (log fold changes and p-values) for autism or ASD.  The columns present are related to GO terms and their associated FDR values, not gene-specific expression data.</t>
  </si>
  <si>
    <t>The provided CSV data does not contain gene expression data related to autism or ASD.  The columns present are related to Gene Modules, GO terms, descriptions, FDR (false discovery rate), and counts. There are no columns for log fold changes or p-values, which are essential for gene expression analysis.  Furthermore, the data appears to be related to Gene Ontology (GO) enrichment analysis, not individual gene expression levels.</t>
  </si>
  <si>
    <t>The provided CSV data is a metadata description of a dataset, not the dataset itself.  It describes the contents of sheets named 'GeneModules' and 'IsoformModules', indicating that gene expression data *might* be present in a separate file, but it does not contain the actual gene expression data (gene names, p-values, and log fold changes).</t>
  </si>
  <si>
    <t>The provided CSV header does not contain columns for log fold changes, p-values, or gene names that are necessary to represent autism or ASD gene expression data.  While there is a 'Gene_Biotype' column, this is not sufficient to determine gene expression changes.</t>
  </si>
  <si>
    <t>The provided CSV header does not contain columns for gene names, p-values, and log fold changes required to represent gene expression data.  While it contains p-values ('GWAS_P value', 'pvalue', 'empirical P value'), and mentions ASD, it lacks a column with gene names and log fold changes.</t>
  </si>
  <si>
    <t>The provided CSV data does not contain columns for p-values or log fold changes.  It only shows a header row with 'Gene ID' and sample identifiers. Therefore, it cannot be determined if this data represents autism or ASD gene expression data.</t>
  </si>
  <si>
    <t>The provided CSV header does not contain columns for gene names, p-values, or log fold changes.  The columns present appear to relate to circRNAs and their host genes, not gene expression data relevant to autism.</t>
  </si>
  <si>
    <t>The provided CSV header does not contain columns named 'gene', 'pval' (or a similar name representing p-values), and 'lfc' (or a similar name representing log fold changes).  The header shows columns related to brain sample metadata (BrainID, RegionID, Age, Sex etc.) and a column 'ASD.CTL' which might represent a comparison between ASD and control samples, but without explicit p-value and log fold change columns, it's impossible to determine gene expression changes.</t>
  </si>
  <si>
    <t>The provided CSV data does not contain log fold change (lfc) or p-value (pval) columns.  While it includes a 'gene_name' column, the presence of other columns such as 'n_Cells_gene_detected', 'mean_MAF_G', 'interacting_snoRNA', and 'Publication_author' indicates that this data is not solely focused on gene expression changes related to autism or ASD.</t>
  </si>
  <si>
    <t>The CSV data contains a header row and columns for gene names ('genenames'), log fold changes ('log2FoldChange'), and p-values ('pvalue'). Each row represents a single gene.</t>
  </si>
  <si>
    <t>The provided CSV data does not contain gene expression data suitable for autism/ASD analysis. While it includes p-values ('pvalue') and gene identifiers ('geneID'), the 'geneID' column contains multiple gene names separated by slashes, indicating that each row does not represent a single gene.  The header row is present at index 0.</t>
  </si>
  <si>
    <t>The provided CSV data does not contain a column with individual gene names. The 'geneID' column contains multiple gene identifiers separated by a forward slash ('/'), indicating that each row does not represent a single gene.  The header row is present at index 0.</t>
  </si>
  <si>
    <t>The provided CSV data only shows the header row and a description.  It does not contain any gene expression data. Therefore, it's impossible to determine if it contains autism or ASD gene expression data.</t>
  </si>
  <si>
    <t>The provided CSV data describes Reactome pathways enriched from differentially expressed genes, not individual gene expression data.  Each row represents a pathway, and the 'geneID' column contains multiple gene identifiers separated by slashes, indicating that it does not meet the requirement of a single gene identifier per row.</t>
  </si>
  <si>
    <t>The provided CSV data does not appear to contain autism or ASD gene expression data.  The header row indicates that the data describes Gene Ontology terms enriched from differentially expressed genes, not individual gene expression data.  Furthermore, the 'geneID' column contains multiple gene identifiers separated by slashes, indicating that each row does not represent a single gene.</t>
  </si>
  <si>
    <t>The provided CSV data contains a header row and columns that include gene symbols ('symbol'), log fold changes ('logFC'), and p-values ('PValue').  The data appears to represent gene expression information, with each row corresponding to a single gene.</t>
  </si>
  <si>
    <t>The provided CSV data contains a header row and columns that include gene symbols, log fold changes (logFC), and p-values (PValue).  The presence of these three key columns indicates that the data is consistent with the description of autism or ASD gene expression data, where each row represents a gene.</t>
  </si>
  <si>
    <t>The provided CSV data does not contain log fold change values.  While it includes a 'Gene' column and what seems to be an indication of direction of regulation, there's no column with numerical log fold change data.  Therefore, it cannot be considered gene expression data with log fold changes.</t>
  </si>
  <si>
    <t>The provided CSV header does not contain columns for gene names, p-values, or log fold changes.  The columns present relate to circQTLs and their relevance to schizophrenia (SCZ), not autism or ASD.</t>
  </si>
  <si>
    <t>The provided CSV header does not contain columns for gene names, p-values, or log fold changes.  The header only shows columns related to circQTLs and their relevance to schizophrenia (SCZ), not autism or ASD.</t>
  </si>
  <si>
    <t>The provided CSV header does not contain columns for gene names, p-values, and log fold changes as required.  While there are columns related to genes and p-values ('Gene_synbol' and 'trans-eQTL_pvalue'), there is no column representing log fold changes.</t>
  </si>
  <si>
    <t>The provided CSV data does not contain gene expression data (log fold changes and p-values).  Instead, it appears to be GWAS (Genome-Wide Association Study) data showing SNPs (Single Nucleotide Polymorphisms) associated with some trait (possibly schizophrenia given the column name 'POS (SCZ-associated SNP clump)'). The 'P' column represents p-values, but these are associated with SNPs, not gene expression.  Furthermore, the 'gene' column is not present. The 'RANGES' column contains multiple gene identifiers within square brackets in some rows, indicating that a single row does not correspond to a single gene.</t>
  </si>
  <si>
    <t>The provided CSV header does not contain columns for gene names, p-values, or log fold changes related to autism or ASD.  The header shows columns related to circQTLs and their relevance to schizophrenia (SCZ), not autism spectrum disorder (ASD).</t>
  </si>
  <si>
    <t>The provided CSV data does not contain gene expression data related to autism or ASD.  The columns present describe sample metadata (ID, institution, diagnosis, gender, age of death, etc.), but there are no columns for gene names, p-values, or log fold changes. The diagnosis is listed as SCZ (Schizophrenia), not autism or ASD.</t>
  </si>
  <si>
    <t>The provided CSV snippet shows that the 'intersection_genename' column contains multiple gene names separated by commas in some rows.  While the file appears to contain p-values ('p.value') and potentially log fold changes (though no such column is explicitly present), the presence of multiple gene names per row violates the single gene per row requirement.</t>
  </si>
  <si>
    <t>The provided CSV data does not appear to contain autism or ASD gene expression data. While it includes p-values ('p.value') and gene names (though multiple per cell in 'intersection_genename'), it lacks log fold change values.  The data seems to be related to Gene Ontology (GO) terms and their associated genes, not gene expression changes in the context of autism.</t>
  </si>
  <si>
    <t>The provided CSV data does not appear to contain autism or ASD gene expression data. While it includes p-values ("p.value") and gene identifiers ("intersection_genename"), the gene column contains multiple gene identifiers separated by commas in a single cell, indicating that each row does not represent a single gene.  The data seems to be related to KEGG pathways and their enrichment rather than individual gene expression.</t>
  </si>
  <si>
    <t>The provided CSV data does not appear to contain autism or ASD gene expression data. While it includes p-values (in the 'p.value' column) and gene information (though represented as multiple gene identifiers within a single cell in the 'intersection_genename' column), it lacks log fold change values.  The data seems to be related to gene ontology and KEGG pathway enrichment analysis, not gene expression.</t>
  </si>
  <si>
    <t>The provided CSV data does not appear to be gene expression data related to autism or ASD. While it contains p-values ('p.value') and gene identifiers ('intersection_genename'), the 'intersection_genename' column contains multiple gene names separated by commas in a single cell, indicating that each row does not represent a single gene.  The data seems to be related to GO terms and their associated genes.</t>
  </si>
  <si>
    <t>The provided CSV data does not appear to contain autism or ASD gene expression data. While it includes p-values ("p.value") and gene identifiers ("intersection_genename"), there is no log fold change column.  Furthermore, the 'intersection_genename' column contains multiple gene identifiers in a single cell, indicating that each row does not represent a single gene.</t>
  </si>
  <si>
    <t>The provided CSV data does not appear to contain autism or ASD gene expression data. While it includes p-values ("p.value") and gene information ("intersection_genename"), the gene column contains multiple gene identifiers separated by commas in a single cell, indicating that each row does not represent a single gene.  The data seems to be related to GO terms and their associated genes, not gene expression levels in the context of autism.</t>
  </si>
  <si>
    <t>The provided CSV data does not appear to contain autism or ASD gene expression data. While it includes p-values (in the 'p.value' column) and gene information (though represented as multiple gene identifiers within a single cell in the 'intersection_genename' column), there is no log fold change column.  The presence of multiple gene identifiers in a single cell violates the requirement of one gene per row.</t>
  </si>
  <si>
    <t>The provided CSV data does not appear to contain autism or ASD gene expression data. While it includes p-values ('p.value') and gene names (though multiple per cell in 'intersection_genename'), it lacks log fold change values.  The data seems to be related to GO terms and their associated genes, not gene expression analysis.</t>
  </si>
  <si>
    <t>The provided CSV data does not contain gene expression data.  The header row and subsequent rows contain descriptive metadata about a gene set comparison, not individual gene data with p-values and log fold changes. There are no columns named 'gene', 'pval', or 'lfc'.</t>
  </si>
  <si>
    <t>The provided CSV header does not contain the necessary columns ('gene', 'pval', 'lfc') for gene expression data analysis.  The header describes enrichment analysis results, not individual gene data.</t>
  </si>
  <si>
    <t>The provided CSV data does not contain log fold change values.  While it includes p-values (in the 'PValue' column) and gene names (though multiple genes are listed in a single cell in the 'Genes' column), there is no column with log fold changes. Therefore, it does not meet the criteria for containing the required data.</t>
  </si>
  <si>
    <t>The provided CSV data does not contain log fold change values.  While it includes p-values (in the 'PValue' column) and gene names (though multiple genes are listed in some cells of the 'Genes' column), there is no column with log fold changes. Therefore, it does not meet the criteria for containing the required data.</t>
  </si>
  <si>
    <t>The provided CSV data does not contain autism or ASD gene expression data in the specified format. While it includes columns for PValue and Genes, the 'Genes' column contains multiple gene identifiers separated by commas within a single cell, violating the requirement of each row representing a single gene.</t>
  </si>
  <si>
    <t>The provided CSV data does not represent gene expression data in the requested format. While it contains p-values (PValue column) and a column with gene names (Genes column), the 'Genes' column contains multiple gene identifiers separated by commas within a single cell, violating the requirement of each row representing a single gene.  The data appears to be a gene ontology enrichment analysis result, not raw gene expression data.</t>
  </si>
  <si>
    <t>The provided CSV data does not appear to be gene expression data related to autism or ASD. While it contains p-values ('p.value') and gene identifiers ('intersection_genename'), the context suggests it's related to Gene Ontology (GO) terms and their associated genes.  The 'intersection_genename' column contains multiple gene identifiers in a single cell, indicating that it is not a simple gene expression dataset with one gene per row.</t>
  </si>
  <si>
    <t>The provided CSV data does not appear to contain autism or ASD gene expression data. While it includes p-values ('p.value') and gene information ('intersection_genename'), it's focused on GO terms and their associated genes, not gene expression changes in the context of autism.  Furthermore, the 'intersection_genename' column contains multiple gene identifiers in a single cell, indicating that each row does not represent a single gene.</t>
  </si>
  <si>
    <t>The provided CSV data does not appear to contain autism or ASD gene expression data. While it includes p-values ('p.value') and gene identifiers ('intersection_genename'), the 'intersection_genename' column contains multiple gene identifiers separated by commas in a single cell, indicating that each row does not represent a single gene.  The data seems to be related to GO terms and their associated genes.</t>
  </si>
  <si>
    <t>The provided CSV data does not appear to be gene expression data related to autism or ASD. While it contains p-values (in the 'p.value' column) and gene information (though represented as multiple gene identifiers within a single cell in the 'intersection_genename' column), it lacks log fold change values.  The data seems to be related to Gene Ontology (GO) terms and their enrichment in a specific dataset, not gene expression levels.</t>
  </si>
  <si>
    <t>The provided CSV data does not appear to be autism or ASD gene expression data. While it contains p-values ('p.value') and gene information ('intersection_genename'), the gene column contains multiple gene identifiers separated by commas in a single cell, indicating that each row does not represent a single gene.  The data seems to be related to GO terms and their associated genes.</t>
  </si>
  <si>
    <t>The provided CSV data does not appear to contain autism or ASD gene expression data. While it includes p-values ("p.value") and gene information ("intersection_genename"),  the gene column contains multiple gene identifiers separated by commas, indicating that each row does not represent a single gene.  The data seems to be related to GO terms and their associated genes.</t>
  </si>
  <si>
    <t>The provided CSV data does not contain gene expression data suitable for autism/ASD analysis. While it includes p-values ('p.value') and gene names (though multiple per cell in 'intersection_genename'), it lacks log fold change values.  The 'intersection_genename' column also contains multiple gene identifiers within a single cell, which is not suitable for analysis where each row represents a single gene.</t>
  </si>
  <si>
    <t>The provided CSV data does not contain gene expression data (p-values and log fold changes) for individual genes.  The 'intersection_genename' column contains multiple gene identifiers separated by commas, indicating that each row represents a set of genes rather than a single gene.  While p-values are present in the 'p.value' column, they are associated with gene sets, not individual genes.</t>
  </si>
  <si>
    <t>The provided CSV data does not appear to contain autism or ASD gene expression data. While it includes p-values ('p.value') and gene identifiers ('intersection_genename'), it lacks log fold change values.  Furthermore, the 'intersection_genename' column contains multiple gene identifiers in a single cell, indicating that each row does not represent a single gene.</t>
  </si>
  <si>
    <t>The provided CSV data lacks column headers and does not contain p-values or log fold changes.  The data appears to be a list of gene names only.</t>
  </si>
  <si>
    <t>The provided CSV data does not contain gene expression data for autism or ASD.  The data appears to be pathway analysis results, showing pathways and associated molecules (genes) with their BH-adjusted p-values. The 'Molecules' column contains multiple gene names in some rows, which is inconsistent with the requirement of each row representing a single gene.</t>
  </si>
  <si>
    <t>The provided CSV data does not contain gene expression data for autism or ASD.  The data appears to be pathway analysis results, showing pathways and associated molecules (genes) with their BH-adjusted p-values. The 'Molecules' column contains multiple gene identifiers in some rows, which is inconsistent with the requirement of a single gene identifier per row.</t>
  </si>
  <si>
    <t>The provided CSV data does not contain gene expression data with individual gene names, p-values, and log fold changes.  The file appears to show pathway analysis results, with each row representing a pathway, a BH p-value, and a list of molecules involved. The 'Molecules' column contains multiple gene identifiers separated by commas in some cases, which is inconsistent with the requirement of a single gene identifier per row.</t>
  </si>
  <si>
    <t>The provided CSV data does not contain gene expression data in the format described.  The columns do not include gene names, p-values, or log fold changes. Instead, it appears to summarize miRNA target analysis results, showing the number of miRNAs and predicted targets associated with specific pathways in different groups (ASD_F_PAC vs. CTRL_F_PAC, ASD_M_PAC vs. CTRL_M_PAC).</t>
  </si>
  <si>
    <t>The provided CSV data does not appear to contain autism or ASD gene expression data. While it includes p-values and fold changes, the 'gene' column contains probeset IDs and miRNA identifiers, not gene names in the typical sense.  The header row is present on the second line. The file does not contain data for individual genes, but rather for various probesets and microRNAs.</t>
  </si>
  <si>
    <t>The provided CSV data does not contain a column with gene names. While it includes p-values and fold changes, the 'Probeset ID' column seems to contain identifiers that are not simple gene names (e.g., 'U44_st', 'ACA62_st', 'hsa-miR-342-3p_st').  The presence of 'hsa-miR' suggests microRNA identifiers, which are not typical gene names in the context of autism gene expression analysis.  Furthermore, the incomplete last row indicates potential issues with data integrity.</t>
  </si>
  <si>
    <t>The provided CSV data does not appear to contain autism or ASD gene expression data. While it includes p-values ("p.value") and gene names (though multiple per cell in the "intersection_genename" column), there is no log fold change column.  The presence of GO terms and descriptions suggests this data is related to gene ontology analysis, not gene expression specifically related to autism.</t>
  </si>
  <si>
    <t>The provided CSV data does not appear to be gene expression data related to autism or ASD. While it contains p-values and what seems to be gene identifiers, the 'intersection_genename' column contains multiple gene names separated by commas in some rows, indicating that each row does not represent a single gene.  The data seems to be related to GO terms and their associated genes.</t>
  </si>
  <si>
    <t>The provided CSV header does not contain columns named 'gene', 'p.value', or a column clearly indicating log fold changes (lfc). While 'p.value' is present, there's no direct measure of gene expression change.</t>
  </si>
  <si>
    <t>The provided CSV data does not appear to contain autism or ASD gene expression data. While it includes p-values (in the 'p.value' column) and what seems to be gene identifiers (in the 'intersection_genename' column), there is no log fold change information.  Furthermore, the 'intersection_genename' column contains multiple gene identifiers in a single cell, indicating that each row does not represent a single gene.</t>
  </si>
  <si>
    <t>The provided CSV data does not contain log fold change values.  While it includes p-values (in the 'p.value' column) and gene names (though multiple gene names are present in some rows within the 'intersection_genename' column), there is no column with log fold change data. Therefore, it does not meet the criteria for autism or ASD gene expression data as specified.</t>
  </si>
  <si>
    <t>The provided CSV data does not appear to be gene expression data related to autism or ASD. While it contains p-values and what seems to be gene identifiers, the 'intersection_genename' column contains multiple gene names separated by commas within a single cell.  This structure is not consistent with a single gene per row format expected for typical gene expression data.  The 'intersection' column also contains multiple gene names separated by commas. The column names also don't directly suggest log fold changes.</t>
  </si>
  <si>
    <t>The provided CSV data does not appear to be gene expression data related to autism or ASD. While it contains p-values (in the 'p.value' column) and gene identifiers (in the 'intersection_genename' column), it lacks log fold change values.  Furthermore, the context suggests enrichment analysis results rather than gene expression data. The 'intersection_genename' column also shows multiple gene identifiers in a single cell, which is not typical for a single-gene-per-row format expected in gene expression data.</t>
  </si>
  <si>
    <t>The provided CSV data does not contain log fold change or p-value columns.  It includes a 'geneid' and 'genename' column, but lacks the necessary statistical information for differential gene expression analysis related to autism.</t>
  </si>
  <si>
    <t>The provided CSV data does not contain a column with p-values or log fold changes that are clearly labeled as such.  While there are numerical values present (e.g., 4.34963799146096), their meaning is unclear without proper column headers. The presence of many unnamed columns further obscures the data's structure and prevents a definitive determination of whether it contains the required information.</t>
  </si>
  <si>
    <t>The provided CSV snippet does not contain a complete header row, making it impossible to definitively identify the columns containing gene names, p-values, and log fold changes.  The presence of 'DTU.ASD.p.value' suggests p-values are present, but the log fold change column is unclear.  Furthermore, the example data shows that the 'external_gene_id' column contains multiple gene identifiers in a single cell ('ARF'), which violates the requirement of each row representing a single gene.</t>
  </si>
  <si>
    <t>The provided CSV data does not contain complete data for all genes.  The example row is truncated and lacks values for several columns, including the p-value and log fold change for ASD.  While the header row suggests the presence of 'ASD.log2FC' and 'ASD.p.value' columns, the presence of a truncated row makes it impossible to definitively confirm the data's completeness or structure.</t>
  </si>
  <si>
    <t xml:space="preserve">The provided CSV data contains a header row and columns for gene names ('gene_name'), log fold changes ('ASD.log2FC'), and p-values ('ASD.p.value').  The 'gene_name' column appears to contain a single gene identifier per row in the example provided. </t>
  </si>
  <si>
    <t>The provided CSV header does not contain columns clearly named 'gene', 'pval', and 'lfc' (or similar names representing gene names, p-values, and log fold changes).  The presence of 'ensembl_gene_id' suggests gene information, but the absence of explicit p-value and log fold change columns prevents a definitive positive answer. The data also appears to be a summary table rather than individual gene data.</t>
  </si>
  <si>
    <t>The provided CSV data does not contain gene expression data in the requested format.  The header row does not contain columns named 'gene', 'pval', or 'lfc'.  The example data shows that the 'Molecules' column contains multiple gene identifiers separated by commas, which is not the expected single gene identifier per row.</t>
  </si>
  <si>
    <t>The provided CSV data does not contain log fold change values or p-values.  While it has a header row and a column that seems to list gene symbols (adult_BrainSpan_RNAseq_GeneSymbol), the crucial columns for differential expression analysis are missing.  The presence of multiple gene symbol columns does not affect the primary determination of missing key data.</t>
  </si>
  <si>
    <t>The CSV data contains a header row and columns with gene names ('Symbol'), log fold changes ('LogFC relative to other subtypes' and 'LogFC relative to controls'), and p-values ('Fdr relative to other subtypes' and 'Fdr relative to controls').  While the p-values are FDR (false discovery rate) values, they are still a measure of statistical significance.  The presence of a 'SFARI gene' column suggests a potential connection to autism research, although this is not definitive.</t>
  </si>
  <si>
    <t>The provided CSV content only shows the header and a description, not the actual data containing gene names, p-values, and log fold changes.  Therefore, it's impossible to determine if the file contains the requested data.</t>
  </si>
  <si>
    <t>The provided CSV data does not represent gene expression data in the expected format.  The 'gene' column contains a comma-separated list of multiple gene identifiers within a single cell, rather than each row representing a single gene.  This violates the requirement of each row holding data for an individual gene.</t>
  </si>
  <si>
    <t>The provided CSV data does not contain gene expression data related to autism or ASD.  The header row indicates columns such as 'Upstream Regulator', 'Predicted Activation State', and 'Target Molecules in Dataset', which are not typical of gene expression datasets. The 'Target Molecules in Dataset' column contains comma-separated gene names, which violates the single gene per row requirement.</t>
  </si>
  <si>
    <t>The provided CSV data does not contain gene expression data (p-values, log fold changes, and gene names).  The header row shows clinical information about individuals (age, gender, cause of death, etc.), not gene-related data.</t>
  </si>
  <si>
    <t>The provided CSV data does not contain the necessary columns for autism or ASD gene expression analysis.  The header row shows columns such as 'event', 'cluster', 'intron', 'cluster_gene', 'cluster_fdr', 'snorna_id', 'snorna_name', 'pearson_rho', and 'pearson_fdr'.  There are no columns named 'gene', 'pval', or 'lfc' that would contain gene names, p-values, and log fold changes, respectively.</t>
  </si>
  <si>
    <t>The provided CSV data does not appear to be autism or ASD gene expression data. While it contains p-values ("p.value") and gene information ("intersection_genename"), the gene column contains multiple gene identifiers separated by commas, indicating that each row does not represent a single gene.  The data seems to be related to GO terms and their associated genes.</t>
  </si>
  <si>
    <t>The provided CSV data does not appear to be gene expression data related to autism or ASD.  The 'intersection_genename' column contains multiple gene names separated by commas in some rows, indicating that each row does not represent a single gene. The column names also do not directly suggest log fold changes or p-values related to gene expression in the context of autism.</t>
  </si>
  <si>
    <t>The provided CSV data does not appear to contain autism or ASD gene expression data. While it includes p-values ('p.value') and gene identifiers ('intersection_genename'), the gene column contains multiple gene identifiers separated by commas in a single cell, indicating that each row does not represent a single gene.  The data seems to be related to GO terms and their associated genes rather than individual gene expression levels.</t>
  </si>
  <si>
    <t>The provided CSV header does not contain columns named 'log fold changes' or a column with a similar name representing log fold changes.  While it includes 'PRS.P' which seems to represent p-values and 'HGNC' which seems to represent gene symbols, the crucial 'log fold change' column is missing. Therefore, the file does not contain the necessary data.</t>
  </si>
  <si>
    <t>The provided CSV data does not contain log fold change values.  While it includes gene names ('ensembl_symbol') and a column that might represent p-values (if 'verdict' were recoded), there is no column with log fold changes. Therefore, it does not meet the criteria for containing autism or ASD gene expression data as specified.</t>
  </si>
  <si>
    <t>The provided CSV data does not contain a column with p-values explicitly named 'pval'.  While it includes a column named 'FDR' which might represent a false discovery rate (related to p-values), it's not a direct p-value column.  Additionally, there is no column named 'log fold change'.  The file also does not contain a column named 'gene', although 'ensembl_symbol' might serve a similar purpose.  The 'ensembl_symbol' column contains single gene identifiers in the example.</t>
  </si>
  <si>
    <t>The provided CSV data does not contain p-values or log fold changes.  It includes gene information (ensembl_symbol) but lacks the necessary columns for differential expression analysis.</t>
  </si>
  <si>
    <t>The provided CSV data does not contain a column with p-values.  While it includes 'FDR' which might represent a false discovery rate (related to p-values), it's not explicitly a p-value column.  Additionally, there is no column explicitly labeled as containing log fold changes.  The 'ensembl_symbol' column appears to contain gene names, but some rows have missing or incomplete gene symbols (e.g., row 2).</t>
  </si>
  <si>
    <t>The provided CSV data does not contain p-values or log fold changes.  While it includes gene names in the 'ensembl_symbol' column, the necessary columns for assessing differential gene expression are missing. Additionally, some rows in the 'ensembl_transcripts' column contain multiple transcript identifiers separated by '+', indicating that a single row does not always represent a single gene.</t>
  </si>
  <si>
    <t>The provided CSV data does not contain a column with log fold changes.  While it includes gene names ('ensembl_symbol'), p-values (implied by 'FDR'), and appears to be related to gene expression analysis, the absence of log fold change data prevents a definitive 'true' answer.</t>
  </si>
  <si>
    <t>The provided CSV data does not contain gene expression data related to autism or ASD.  The 'GeneRatio' column suggests ratios of genes within pathways, not individual gene expression levels. The 'ID' column contains pathway identifiers (hsa04724, etc.), not gene names.  The columns 'p' and 'p.adjust' appear to be p-values associated with these pathways, not individual genes.</t>
  </si>
  <si>
    <t>The provided CSV data does not contain gene expression data related to autism or ASD.  The columns present are related to pathways ('Description'), pathway IDs ('ID'), counts, and p-values ('p', 'p.adjust'). There is no column containing log fold changes, and while 'GeneRatio' might seem relevant, it's a ratio and not a gene name.</t>
  </si>
  <si>
    <t>The provided CSV data does not contain gene expression data related to autism or ASD.  The 'GeneRatio' column suggests that the data represents pathway enrichment analysis results, showing the ratio of genes within a pathway that are significant.  The 'Gene' column is missing entirely.  The data describes pathways, not individual genes.</t>
  </si>
  <si>
    <t>The provided CSV data does not contain gene expression data related to autism or ASD.  The columns present are related to Gene Ontology (GO) terms, not individual gene expression levels (p-values and log fold changes for specific genes).  The 'ID' column might contain gene identifiers, but it's within the context of GO terms, not individual gene expression analysis.</t>
  </si>
  <si>
    <t>The provided CSV data does not contain gene expression data related to autism or ASD.  The columns present are related to Gene Ontology (GO) terms, not individual gene names, p-values, and log fold changes. The 'p' column seems to represent p-values associated with GO terms, not individual genes.</t>
  </si>
  <si>
    <t>The provided CSV data does not contain gene expression data related to autism or ASD.  The columns present relate to Gene Ontology (GO) terms, not individual gene names, p-values, and log fold changes. The 'p' column seems to represent p-values associated with GO terms, not individual genes.</t>
  </si>
  <si>
    <t>The provided CSV content is not data; it's a description of a supplementary table.  It does not contain the gene expression data itself, including gene names, p-values, and log fold changes. Therefore, it cannot be analyzed for the presence of autism or ASD gene expression data.</t>
  </si>
  <si>
    <t>The CSV data contains a header row and columns with gene names ('Symbol'), log fold changes (multiple columns with 'logFC' in their names), and information that can be used to infer p-values (although p-values are not explicitly present, the 'change' columns provide information about up- or down-regulation which is related to statistical significance).  Each row appears to represent a single gene.</t>
  </si>
  <si>
    <t>The provided CSV data does not contain gene expression data related to autism or ASD.  The columns present are related to cell types and subtypes, not gene names, p-values, or log fold changes. There is no evidence of p-values or log fold changes.</t>
  </si>
  <si>
    <t>The provided CSV data does not contain any gene expression data, p-values, or log fold changes.  The header row contains only 'Unnamed' columns and descriptions of UMAP data, indicating that the file likely contains dimensionality reduction results rather than gene expression analysis.</t>
  </si>
  <si>
    <t>The provided CSV data does not contain any gene expression data, p-values, or log fold changes. The header row contains only unnamed columns, indicating that the file is not formatted for gene expression analysis.</t>
  </si>
  <si>
    <t>The CSV data contains a header row and columns for gene names ('Gene'), p-values ('p_val'), and log fold changes ('avg_logFC').  Each row appears to represent a single gene. While the last row is incomplete, the overall structure aligns with the description.</t>
  </si>
  <si>
    <t>The provided CSV data does not contain the necessary columns ('log fold change', 'p-value', and 'gene name') to represent gene expression data related to autism or ASD.  While it includes gene counts and other metadata, it lacks the key quantitative measures needed for differential expression analysis.</t>
  </si>
  <si>
    <t>The provided CSV header does not contain columns for gene names, p-values, or log fold changes.  The content appears to be metadata describing other data files, not the gene expression data itself.</t>
  </si>
  <si>
    <t>The provided CSV data contains gene expression information related to schizophrenia (SCZ), not autism or ASD.  While it includes gene names, p-values (TWAS.P), and what could be interpreted as log fold changes (though not explicitly labeled as such), the data is clearly associated with SCZ based on the 'GWAS' and 'SCZ.Clozuk.2018' columns.  Additionally, the last row is incomplete, lacking values for several columns.</t>
  </si>
  <si>
    <t>The provided CSV data does not contain autism or ASD gene expression data in the specified format. While it includes columns for 'pvalue' and a column that seems to contain gene information ('geneID'), the 'geneID' column contains multiple gene identifiers separated by slashes in a single cell, violating the requirement of each row representing a single gene.</t>
  </si>
  <si>
    <t>The provided CSV data does not represent gene expression data in the requested format. While it contains p-values (in the 'pvalue' column) and gene identifiers (in the 'geneID' column), the 'geneID' column contains multiple gene identifiers separated by slashes in a single cell, violating the requirement of each row representing a single gene.  There is also no log fold change column.</t>
  </si>
  <si>
    <t>The provided CSV data contains a header row and columns for gene names ('feature'), p-values ('p_val'), and log fold changes ('avg_log2FC').  Each row represents a single gene. While some rows are missing the 'p_val_adj' column, this does not invalidate the presence of the required columns.</t>
  </si>
  <si>
    <t>The provided CSV data does not contain the necessary columns for log fold change, p-value, and gene name to analyze autism or ASD gene expression data.  The header row is incomplete and does not show the required columns. The data also appears to be descriptive metadata rather than gene expression data.</t>
  </si>
  <si>
    <t>The provided CSV data does not contain p-values or log fold changes.  It includes a 'Gene name' column, but the data is focused on genomic features and CRISPR-related information, not gene expression.</t>
  </si>
  <si>
    <t>The provided CSV data describes primers used in PCR experiments, not gene expression data related to autism or ASD.  The columns do not contain gene names, p-values, or log fold changes.</t>
  </si>
  <si>
    <t>The provided CSV data does not contain gene names, p-values, and log fold changes in a format suitable for analyzing gene expression related to autism or ASD.  The header row indicates that the data represents comparisons of subtypes (I, II, III) across different variables (A, B verbal, B nonverbal, C, D), not gene expression data.  While p-values are present, they are associated with these subtype comparisons, not individual genes.</t>
  </si>
  <si>
    <t>The provided CSV data does not contain gene expression data (p-values and log fold changes).  It appears to be clinical data about ASD patients, including patient IDs, diagnoses, age, sex, and other clinical variables.</t>
  </si>
  <si>
    <t>The provided CSV data does not contain gene expression data with p-values and log fold changes for individual genes.  The data appears to be a summary of differentially expressed genes across different brain regions, showing the number of increased and decreased genes, not individual gene-level data.</t>
  </si>
  <si>
    <t>The provided CSV data does not appear to contain gene expression data related to autism or ASD. The header row suggests that the data represents correlations between different variables (ADI.R_A, ADI.R_B_NV, etc.), not gene expression levels.  There are no columns with names that clearly indicate gene names, p-values, or log fold changes.</t>
  </si>
  <si>
    <t>The provided CSV data does not contain autism or ASD gene expression data in the format described. While it includes columns that could potentially represent gene names ('Int_Genes'), p-values ('P'), and potentially log fold changes (though not explicitly labeled as such), the 'Int_Genes' column contains multiple gene identifiers separated by commas in some rows, violating the requirement of a single gene identifier per row.  Additionally, the header row is not clearly defined, and the data appears to be a summary of a Fisher's Exact Test rather than individual gene expression data.</t>
  </si>
  <si>
    <t>The provided CSV data does not contain log fold change values (lfc) or p-values (pval).  While it includes gene information ('GeneIso' column) and relates to ASD and other diagnoses, the absence of crucial statistical data for differential expression analysis makes it unsuitable for the described purpose.</t>
  </si>
  <si>
    <t>The provided CSV data does not contain gene expression data (p-values and log fold changes).  The columns present are 'Region', 'Feature', 'Relationship', and 'Count'. There is no evidence of p-values, log fold changes, or a column clearly indicating gene names in the provided header or data.</t>
  </si>
  <si>
    <t>The provided CSV data does not contain gene expression data related to autism or ASD.  The columns present are related to brain regions, genomic features, and overlap statistics, not gene expression levels (p-values and log fold changes). There is no column for p-values or log fold changes.</t>
  </si>
  <si>
    <t>The provided CSV data is a metadata description of another dataset, not the gene expression data itself.  It describes the contents of a sheet named 'ASD_DE_Regional_Overlap' which *might* contain the relevant data, but the actual gene expression data (gene names, p-values, log fold changes) is not present in this snippet.</t>
  </si>
  <si>
    <t>The provided CSV data does not contain log fold change values or p-values.  The 'transcripts.DTU.Patterns.in.Disorders(ASD_BD_SCZ)' column appears to contain some information related to ASD, but it's not in a quantifiable format like a p-value or log fold change.  The data also describes gene characteristics rather than providing numerical data for differential expression analysis.</t>
  </si>
  <si>
    <t>The provided CSV header does not contain columns for log fold changes or p-values, which are necessary to assess gene expression changes.  While it mentions ASD (Autism Spectrum Disorder) in the context of transcript regulation, it does not provide the quantitative data (p-values and log fold changes) required to analyze gene expression in relation to ASD.</t>
  </si>
  <si>
    <t>The provided CSV data does not contain p-values or log fold changes.  While it includes a 'gene_name' column, the presence of other columns unrelated to differential expression analysis (e.g., chromosome location, gene length) suggests this is not gene expression data focused on autism or ASD.</t>
  </si>
  <si>
    <t>The provided CSV data does not contain log fold change or p-value columns.  The header row indicates columns related to lincRNAs and their targets, correlation values, and color assignments, but not the necessary statistical data for differential gene expression analysis.</t>
  </si>
  <si>
    <t>The provided CSV header does not contain columns for gene names, p-values, or log fold changes.  The header describes a table relating lncRNAs to target genes within a WGCNA network analysis, but it lacks the necessary columns for gene expression data analysis.</t>
  </si>
  <si>
    <t>The provided CSV data does not contain log fold change values.  While it includes a column named 'P' which could represent p-values, and a 'gene' column is implied by the 'geneM3' values in the 'Module' column, there is no column with log fold changes.  The data appears to be related to genetic association studies, but not gene expression.</t>
  </si>
  <si>
    <t>The provided CSV data does not contain gene expression data (p-values and log fold changes for individual genes).  It appears to be GWAS summary statistics, showing enrichment of SNPs in genomic regions associated with ASD. There is no column with individual gene names, p-values, or log fold changes.</t>
  </si>
  <si>
    <t>The provided CSV data does not appear to be gene expression data related to autism or ASD.  The columns present relate to GO terms and their enrichment in a gene set, not individual gene expression levels (p-values and log fold changes). While 'p.value (FDR corrected)' might seem relevant, it's associated with GO terms, not individual genes.  Furthermore, the 'gene' column (implied by the 'geneM1' in the first column) contains multiple gene identifiers separated by commas, indicating that each row does not represent a single gene.</t>
  </si>
  <si>
    <t>The provided CSV data does not contain gene names, p-values, or log fold changes related to autism or ASD. The header row indicates columns such as 'module', 'moduleSize', 'p.value', but these are not related to gene expression data in the context of autism research.  The 'p.value' column seems to represent p-values from a different type of analysis, not gene expression analysis.</t>
  </si>
  <si>
    <t>The provided CSV header does not contain columns for log fold changes, p-values, or gene names that are necessary to represent autism or ASD gene expression data.  The presence of many unnamed columns further suggests a lack of structured data relevant to the question.</t>
  </si>
  <si>
    <t>The provided CSV header does not contain columns for p-values or log fold changes.  While it includes gene identifiers ('external_gene_name' and 'hgnc_symbol'), the absence of p-value and log fold change columns prevents the data from representing gene expression data suitable for autism/ASD analysis as described.</t>
  </si>
  <si>
    <t>The provided CSV header does not contain columns named 'pvalue' or 'log fold change'.  While it includes gene-related information such as 'ensembl_gene_id', 'external_gene_name', and 'hgnc_symbol', the absence of p-value and log fold change columns prevents a determination of differential gene expression.</t>
  </si>
  <si>
    <t>The provided CSV header does not contain columns for gene names, p-values, or log fold changes.  The content describes WGCNA module assignments and kME values, which are not directly equivalent to the requested data.</t>
  </si>
  <si>
    <t>The provided CSV data does not contain gene expression data related to autism or ASD.  The columns present relate to GO terms, descriptions, and associated p-values, not individual gene names, log fold changes, and p-values for gene expression analysis.  The 'ARI_Gene_Group' column might contain gene information, but it's not presented in a way that's directly usable for gene expression analysis.  The data appears to be related to Gene Ontology (GO) enrichment analysis.</t>
  </si>
  <si>
    <t>The provided CSV data does not contain a column with individual gene names, p-values, and log fold changes as required.  While there is a 'ARI_Gene_Group' column that seems to represent gene groups, it does not contain individual gene identifiers.  The other columns do not appear to represent p-values or log fold changes.</t>
  </si>
  <si>
    <t>The provided CSV header contains columns named 'external_gene_name' which appears to contain gene names, 'Wilcoxon_Pvalue_twosided' which seems to represent p-values, and 'Group_Contrast_logFC' which likely contains log fold changes.  The presence of these three data types indicates that the file contains the required information.</t>
  </si>
  <si>
    <t>The provided CSV data does not contain columns for log fold changes (lfc) and p-values (pval) that are necessary to assess gene expression changes.  While it includes a 'genes' column, the data shows that the 'genes' column contains the total number of genes detected, not individual gene names and their associated expression data.  Therefore, it cannot be used to analyze autism or ASD gene expression.</t>
  </si>
  <si>
    <t>The provided CSV data does not contain columns for log fold changes (lfc) and p-values (pval) that are necessary to assess gene expression changes.  While it includes a 'genes' column, this column appears to contain a single gene identifier per row, not multiple identifiers as described in the instructions. The data seems to be related to single-cell RNA sequencing, but lacks the crucial columns for differential gene expression analysis.</t>
  </si>
  <si>
    <t>The provided CSV data does not contain gene expression data, p-values, or log fold changes.  The columns present describe sample metadata (individual identifiers, region, age, sex, etc.) but lack the necessary columns for gene expression analysis.</t>
  </si>
  <si>
    <t>The provided CSV data does not contain gene expression data related to autism or ASD.  The columns present describe individual patient demographics and clinical information, not gene-level data (p-values, log fold changes, gene names).</t>
  </si>
  <si>
    <t>The provided CSV data contains a header row and includes columns for gene expression analysis: 'Diagnosis' indicates ASD status, while other columns like 'Bulk_reads', 'Bulk_alignment_rate', and 'Number of genes detected' suggest gene expression data.  Although not explicitly labeled as p-values or log fold changes, the data strongly implies the presence of such information within the dataset.</t>
  </si>
  <si>
    <t>The provided CSV data does not contain gene expression data (p-values and log fold changes).  It appears to be clinical patient data including diagnoses, age, sex, and other clinical variables. There is no column with gene names, p-values, or log fold changes.</t>
  </si>
  <si>
    <t>The provided CSV data describes RNA probes used in an RNAscope FISH analysis.  It does not contain gene expression data (p-values and log fold changes) for autism or ASD. The columns present are related to probe catalog numbers, probe names, and the genes or targets detected by each probe.  While some rows list single gene names, others list multiple genes (e.g., the positive control probe).</t>
  </si>
  <si>
    <t>The provided CSV data does not contain gene expression data (p-values, log fold changes, gene names). It describes clinical information of tissue samples, including case number, age, sex, clinical diagnosis, and post-mortem interval.</t>
  </si>
  <si>
    <t>The provided CSV content is not data; it's a table of contents or descriptions of tables.  It does not contain the gene expression data itself (gene names, p-values, log fold changes). Therefore, it cannot be analyzed for the presence of autism or ASD gene expression data.</t>
  </si>
  <si>
    <t>The provided CSV data does not contain p-values or log fold changes.  While it has a header row, the columns present are not related to gene expression analysis as described in the prompt. The data appears to be related to measurements of Glut and GABA in different brain regions, possibly with some sub-categorization.  There is no evidence of autism or ASD-related data.</t>
  </si>
  <si>
    <t>The provided CSV header does not contain columns for log fold changes or p-values.  While it includes a 'Gene' column, the presence of other unnamed columns and the lack of relevant quantitative data makes it unsuitable for analysis of autism or ASD gene expression data as described.</t>
  </si>
  <si>
    <t>The provided CSV data does not contain gene expression data. It shows the results of a logistic regression analysis, including coefficients, standard errors, Wald Z-scores, and p-values for various terms (Intercept, Age).  There are no columns for gene names, log fold changes, or even data related to gene expression.</t>
  </si>
  <si>
    <t>The provided CSV header does not contain columns for gene names, p-values, or log fold changes.  The header only shows metadata columns such as IID, BrainID, RegionID, and Diagnos. Therefore, it does not appear to contain the required data for autism or ASD gene expression analysis.</t>
  </si>
  <si>
    <t>The provided CSV data does not contain gene expression data.  The data describes the relationship between ASD diagnosis and cell-type proportions in the prefrontal cortex, not gene-level information.  The columns present are 'celltype', 'Region', 'ASD_effect', 'SE', 'Statistic', 'P', and 'FDR', none of which directly correspond to gene names, log fold changes, or p-values in the context of gene expression analysis.</t>
  </si>
  <si>
    <t>The provided CSV data does not contain the necessary columns for autism or ASD gene expression data analysis.  While it has a header row, there are no columns named 'pval' or 'lfc' (p-value and log fold change).  The 'Gene' column is also absent. The 'Module' column seems to contain gene identifiers, but they are not simple gene names.</t>
  </si>
  <si>
    <t>The provided CSV data does not contain log fold changes (lfc) or p-values (pval) which are necessary to assess gene expression changes.  While it includes a 'Gene Symbol' column, the data appears to be related to genetic variants and their annotations rather than gene expression analysis.</t>
  </si>
  <si>
    <t>The provided CSV header does not contain columns for log fold changes, p-values, or a single gene identifier per row.  The 'Gene Symbol' column appears to contain multiple gene symbols separated by semicolons, indicating that each row does not represent a single gene.</t>
  </si>
  <si>
    <t>The provided CSV data does not contain log fold change values or p-values.  The 'Gene Symbol' column appears to contain gene names, but the data includes multiple gene symbols in some rows (e.g., KIAA0754; MACF1), indicating that each row does not represent a single gene. Therefore, the file does not meet the criteria for containing autism or ASD gene expression data in the specified format.</t>
  </si>
  <si>
    <t>The provided CSV data does not contain log fold changes (lfc) or p-values (pval) which are necessary to assess gene expression changes.  The file focuses on genetic variants and their annotations, not gene expression data.</t>
  </si>
  <si>
    <t>The provided CSV data does not contain log fold changes (lfc) or p-values (pval) which are necessary to assess gene expression changes.  While it includes gene symbols in the 'Gene Symbol' column, the data appears to describe genetic variants and their characteristics rather than gene expression data.</t>
  </si>
  <si>
    <t>The provided CSV data does not contain autism or ASD gene expression data.  The columns present are related to genetic variants and their annotations (e.g., chromosome, position, gene symbol, variant type), not gene expression levels (log fold changes and p-values). There is no evidence of log fold change or p-value columns.</t>
  </si>
  <si>
    <t>The provided CSV data does not contain log fold change values or p-values.  The 'Gene Symbol' column appears to contain gene names, but the data shows multiple gene variants listed in a single cell for some rows, indicating that each row does not represent a single gene.</t>
  </si>
  <si>
    <t>The provided CSV data does not contain log fold changes (lfc) or p-values (pval) which are necessary to assess gene expression changes.  The file appears to contain genetic variant information, not gene expression data.</t>
  </si>
  <si>
    <t>The provided CSV data does not contain log fold changes (lfc) or p-values (pval) which are necessary to assess gene expression changes.  While it includes a 'Gene Symbol' column, the data shows that some rows contain multiple gene symbols separated by semicolons (e.g., FAM151A; ACOT11), indicating that each row does not represent a single gene.</t>
  </si>
  <si>
    <t>The provided CSV data does not appear to be autism or ASD gene expression data. While it contains p-values ('p.value') and a column that seems to represent gene names ('intersection_genename'), the 'intersection_genename' column contains multiple gene identifiers separated by commas within a single cell. This structure is not suitable for representing individual gene data, where each row should correspond to a single gene.</t>
  </si>
  <si>
    <t>The provided CSV data does not appear to be autism or ASD gene expression data. While it contains p-values ('p.value') and gene information ('intersection_genename'), the 'intersection_genename' column contains multiple gene names separated by commas within a single cell. This structure is inconsistent with the expectation of one gene per row.</t>
  </si>
  <si>
    <t>The provided CSV data does not appear to contain autism or ASD gene expression data. While it includes columns that could potentially represent gene information ('intersection_genename'), p-values ('p.value'), and potentially log fold changes (no direct equivalent is present), the 'intersection_genename' column contains multiple gene identifiers in a single cell, indicating that each row does not represent a single gene.  The data seems to be related to GO terms and their associated genes rather than individual gene expression levels.</t>
  </si>
  <si>
    <t>The provided CSV data does not contain log fold change values.  While it includes p-values ('p.value') and gene names (though multiple gene names are present in a single cell in the 'intersection_genename' column), a column with log fold changes is missing. Therefore, it does not meet the criteria for containing autism or ASD gene expression data as specified.</t>
  </si>
  <si>
    <t>The provided CSV data does not appear to contain autism or ASD gene expression data. While it includes p-values ('p.value') and gene identifiers ('intersection_genename'), the 'intersection_genename' column contains multiple gene identifiers in a single cell, indicating that each row does not represent a single gene.  The data seems to be related to GO terms and RNA splicing.</t>
  </si>
  <si>
    <t>The provided CSV data does not contain columns for log fold changes or p-values.  While it includes a 'geneid' and 'genename' column, the essential columns for differential gene expression analysis are missing.</t>
  </si>
  <si>
    <t>The CSV file contains a header row and columns for gene names ('genenames'), log fold changes ('log2FoldChange'), and p-values ('pvalue'). Each row represents a single gene.</t>
  </si>
  <si>
    <t>The CSV file contains a header row with a 'Gene' column and other columns that could represent log fold changes and p-values (though p-values are not explicitly named). Each row appears to represent a single gene.</t>
  </si>
  <si>
    <t>The provided CSV data does not contain columns for log fold changes, p-values, or gene names.  The header row indicates that the data is related to topics, not gene expression analysis.  Additionally, while there is a 'Cell' column, the values in this column do not appear to be standard gene identifiers; they include prefixes and may represent multiple identifiers in some cases (e.g., row 6).</t>
  </si>
  <si>
    <t>The CSV file contains a header row with a 'Gene' column and other columns that could represent log fold changes and p-values (although p-values are not explicitly named). Each row appears to represent a single gene.</t>
  </si>
  <si>
    <t>The provided CSV header describes a document about structural topic modeling.  It does not contain gene expression data (p-values and log fold changes) as described in the prompt. The columns are related to gene and cell weights within a topic model, not gene expression analysis.</t>
  </si>
  <si>
    <t>The provided CSV data does not contain p-values or log fold changes.  The header row suggests that the data represents gene names grouped into categories (PN_blue, PN_pink, IN_black), but there's no numerical data indicative of p-values or log fold changes. Therefore, it cannot be considered gene expression data with p-values and log fold changes.</t>
  </si>
  <si>
    <t>The provided CSV header does not contain columns for gene names, p-values, or log fold changes.  The columns are descriptive labels related to gene modules and not individual gene expression data.</t>
  </si>
  <si>
    <t>The CSV data contains a header row and columns for 'Gene', 'pval' (p-values), and implicitly contains log fold changes (though not explicitly named as such in the provided header). Each row appears to represent a single gene.</t>
  </si>
  <si>
    <t>The provided CSV data does not contain autism or ASD-related information. While it includes columns for gene names ('Gene'), p-values ('pvalue'), and what seems to be log fold changes (implied by 'stat'), there's no indication that these genes are specifically related to autism or ASD.  Additionally, the last row is incomplete, lacking data for all columns.</t>
  </si>
  <si>
    <t>The provided CSV header does not contain columns for gene names, p-values, or log fold changes.  The content appears to be a description of the table rather than the data itself.</t>
  </si>
  <si>
    <t>The provided CSV data does not appear to contain autism or ASD gene expression data. While it includes p-values ("p.value") and gene identifiers ("intersection_genename"), it lacks log fold change values.  Furthermore, the 'intersection_genename' column contains multiple gene identifiers in a single cell, indicating that each row does not represent a single gene.</t>
  </si>
  <si>
    <t>The provided CSV data does not appear to contain autism or ASD gene expression data. While it includes p-values ("p.value") and gene names (though multiple per cell in the "intersection_genename" column), there is no log fold change column.  The gene names are also presented as comma-separated lists within cells, rather than one gene per row.</t>
  </si>
  <si>
    <t>The provided CSV data does not appear to be gene expression data related to autism or ASD. While it contains p-values and what seems to be gene identifiers, the 'intersection_genename' column contains multiple gene names separated by commas in a single cell, indicating that each row does not represent a single gene.  The column names also don't directly suggest log fold changes.</t>
  </si>
  <si>
    <t>The provided CSV data does not appear to contain autism or ASD gene expression data. While it includes p-values ("p.value") and gene information ("intersection_genename"), the gene column contains multiple gene identifiers separated by commas, indicating that each row does not represent a single gene.  The data seems to be related to KEGG pathways and their associated genes.</t>
  </si>
  <si>
    <t>The provided CSV data does not appear to contain gene expression data related to autism or ASD. While it includes p-values (in the 'p.value' column) and gene identifiers (in the 'intersection_genename' column), it lacks log fold change values.  Furthermore, the 'intersection_genename' column contains multiple gene identifiers in a single cell, indicating that each row does not represent a single gene.</t>
  </si>
  <si>
    <t>The provided CSV data does not appear to contain autism or ASD gene expression data. While it includes p-values ("p.value") and gene identifiers ("intersection_genename"), it lacks log fold change values.  Furthermore, the gene column contains multiple gene identifiers in a single cell, indicating that each row does not represent a single gene.</t>
  </si>
  <si>
    <t>The provided CSV header indicates columns for 'pval' and an 'Estimate' which could represent log fold change.  However, there is no explicit 'log fold change' column.  The 'Name' column seems to contain gene names, but the data provided is insufficient to definitively confirm this. The presence of 'GO:0008528' and 'GO:0002026' in the 'Name' column suggests that these are GO terms rather than individual gene names, which contradicts the requirement of each row representing a single gene.</t>
  </si>
  <si>
    <t>The provided CSV data contains a header row and includes columns for 'Gene', 'pvalue' (labeled as 'pvalue'), and what can be inferred as log fold changes ('Estimate').  While the 'Gene' column only contains single gene identifiers in the visible portion, the instructions state that this shouldn't automatically invalidate the data if such examples are not present. The presence of the necessary columns and the data types are sufficient to answer affirmatively.</t>
  </si>
  <si>
    <t>The provided CSV data does not contain gene expression data, p-values, or log fold changes.  It describes parameters used in a Seurat analysis for cell type clustering, not gene-level data.</t>
  </si>
  <si>
    <t>The provided CSV data does not contain log fold change values.  While it includes p-values and gene-like identifiers (e.g., Astroglia_1, Excitatory_2), a column with log fold changes is missing.  Therefore, it does not meet the criteria for containing autism or ASD gene expression data as specified.</t>
  </si>
  <si>
    <t>The provided CSV data does not appear to contain autism or ASD gene expression data. While it includes columns for p-values ('pval') and what seems to be effect sizes ('Effect_Size'), which could be interpreted as log fold changes, there's no clear indication that the data is related to autism or ASD.  The 'Name' column might represent gene names, but more information is needed to confirm this. The presence of a 'perturbation' column and 'CellType' suggests this might be data from a perturbation experiment rather than a gene expression study focused on autism.</t>
  </si>
  <si>
    <t>The provided CSV data does not contain log fold change values.  While it includes a 'pval' column (p-values) and a column that seems to contain gene names ('Name'), a column with log fold changes ('lfc') is missing. Therefore, it does not meet the criteria for containing autism or ASD gene expression data with the required columns.</t>
  </si>
  <si>
    <t>The provided CSV data contains a header row and columns for gene names ('perturbation'), p-values ('pval'), and log fold changes ('Effect_Size').  Each row represents a single gene. There are no examples of multiple gene identifiers in a single cell of the 'perturbation' column.</t>
  </si>
  <si>
    <t>The provided CSV header does not contain columns clearly named for gene names, p-values, and log fold changes. While there are columns hinting at effect sizes and gene perturbation, the names are not explicit enough to confidently identify them as p-values and log fold changes.  The data also appears to be a description of the data rather than the data itself.</t>
  </si>
  <si>
    <t>The provided CSV data does not contain a column with gene names as individual identifiers.  The 'intron' column appears to contain genomic coordinates and potentially other identifiers, but not single gene names.  Furthermore, there are no columns clearly labeled as containing log fold changes or p-values.</t>
  </si>
  <si>
    <t>The provided CSV data contains a header row and columns with gene names, p-values, and log fold changes.  The 'genes' column contains single gene identifiers in each row. The 'p' column appears to contain p-values, and 'loglr' seems to represent log fold changes.</t>
  </si>
  <si>
    <t>The provided CSV data contains a header row and columns for gene names ('genenames'), p-values ('pvalue'), and log fold changes ('log2FoldChange'). Each row represents a single gene.</t>
  </si>
  <si>
    <t>The provided CSV data contains a header row and columns named 'genenames', 'log2FoldChange', and 'pvalue' which contain gene names, log fold changes, and p-values respectively.  Each row appears to represent a single gene.</t>
  </si>
  <si>
    <t>The provided CSV data does not appear to contain autism or ASD gene expression data in the requested format. While it includes numerical columns that could potentially represent log fold changes and p-values, there is no column with gene names.  The 'intron' column contains genomic coordinates and identifiers, but not simple gene names.  Furthermore, some rows are incomplete, lacking data in all columns.</t>
  </si>
  <si>
    <t>The provided CSV data contains a header row and columns for gene names ('genes'), p-values ('p'), and log fold changes ('loglr'). Each row appears to represent a single gene.</t>
  </si>
  <si>
    <t>The provided CSV data does not appear to contain autism or ASD gene expression data. While it includes p-values ('p.value') and gene identifiers ('intersection_genename'), the gene column contains multiple gene identifiers separated by commas in a single cell, indicating that each row does not represent a single gene.  The data seems to be related to GO terms and their associated genes.</t>
  </si>
  <si>
    <t>The provided CSV data contains a header row and includes columns with gene names ('gene_name'), p-values ('p_value'), and what seems to be log fold changes (though not explicitly labeled as such, 'Gene_abundance_association_with_GEI' likely represents this).  Each row appears to represent a single gene.</t>
  </si>
  <si>
    <t>The provided CSV data contains a header row and columns with gene names, p-values, and log fold changes.  The 'gene_name' column contains gene names, 'PValue_gene' seems to contain p-values, and 'logFC_site' appears to contain log fold changes. While 'logFC_site' is not named exactly as expected, its content is consistent with log fold change values. There are no examples of multiple gene identifiers in a single cell of the 'gene_name' column.</t>
  </si>
  <si>
    <t>The CSV data contains a header row and columns with gene names, log fold changes, and p-values.  The 'gene_name' column contains gene names, 'mean_logFC_gene' seems to represent log fold changes, and 'PValue_gene' contains p-values. While other columns exist, the required columns are present.</t>
  </si>
  <si>
    <t>The provided CSV data does not contain columns for log fold changes, p-values, or gene names.  The columns present are related to cell ID, neuronal subtype, group ID, Brodmann area, GEI (likely a gene expression index), number of edited sites, and library size. Therefore, it does not meet the criteria for autism or ASD gene expression data as described.</t>
  </si>
  <si>
    <t>The provided CSV data does not contain log fold change values.  While it includes a 'gene_name' column, the presence of multiple gene identifiers in some rows (e.g., 'O60333;A0A087WWA3;Q4R9M9' in the 'uniP_entry' column) indicates a more complex data structure than a simple gene-pvalue-logFC table.  The file also lacks a column with p-values.</t>
  </si>
  <si>
    <t>The provided CSV data is incomplete and does not contain a full header row or sufficient data to determine if it contains autism or ASD gene expression data with the required columns (gene name, p-value, log fold change).  The snippet shows only a partial header and a single incomplete row.  There is no evidence of multiple gene identifiers in a single cell.</t>
  </si>
  <si>
    <t>The provided CSV data does not contain columns for gene names, p-values, or log fold changes.  The columns present are SRA, Cell_type, Age_years, Donor_ID, and Sex. Therefore, it does not meet the criteria for autism or ASD gene expression data as described.</t>
  </si>
  <si>
    <t>The provided CSV data does not contain gene expression data, p-values, or log fold changes.  The columns present describe sample metadata (e.g., sample IDs, run IDs, group IDs, and location information), not gene expression information.</t>
  </si>
  <si>
    <t>The provided CSV header does not contain columns for gene names, p-values, or log fold changes.  The description indicates RNA editing site data, not gene expression data related to autism or ASD.</t>
  </si>
  <si>
    <t>The provided CSV data does not appear to be autism or ASD gene expression data. While it contains p-values ("p.value") and gene names (though multiple genes are listed in a single cell in the "intersection_genename" column), it lacks log fold change values.  The data seems to be related to GO terms and immune response, not gene expression in the context of autism.</t>
  </si>
  <si>
    <t>The provided CSV data does not appear to contain autism or ASD gene expression data. While it includes p-values ("p.value") and gene identifiers ("intersection_genename"),  the 'intersection_genename' column contains multiple gene identifiers separated by commas within a single cell, indicating that each row does not represent a single gene.  The file also lacks a log fold change column.</t>
  </si>
  <si>
    <t>The provided CSV data does not appear to contain autism or ASD gene expression data. While it includes p-values and what seems to be gene identifiers, the 'intersection_genename' column contains multiple gene names separated by commas, indicating that each row does not represent a single gene.  The file also lacks log fold change data.</t>
  </si>
  <si>
    <t>The provided CSV data does not appear to be autism or ASD gene expression data. While it contains p-values (in the 'p.value' column) and gene information (though represented as multiple gene identifiers within a single cell in the 'intersection_genename' column), it lacks log fold change values.  The data seems to be related to gene ontology and KEGG pathway enrichment analysis, not gene expression.</t>
  </si>
  <si>
    <t>The CSV header contains columns 'Gene symbol', 'log2(FC) ASD vs CTL', and 'P value (ASD vs CTL)', which correspond to gene names, log fold changes, and p-values respectively.  The presence of 'DEG in ASD' and other ASD-related columns further supports the conclusion that the data relates to autism gene expression. The presence of multiple identifiers in a single cell in the 'Gene symbol' column is not observed in the provided sample.</t>
  </si>
  <si>
    <t>The provided CSV data contains a header row and includes columns with gene names ('Gene symbol'), p-values ('GWAS pvalue'), and what seems to be log fold changes ('trans-eGene Beta').  While there are additional columns, the required columns are present. The presence of 'DEG in ASD' and 'SFARI' columns further suggests relevance to autism spectrum disorder.</t>
  </si>
  <si>
    <t>The provided CSV header does not contain columns for log fold changes (lfc) and p-values (pval), which are necessary to determine differential gene expression.  While it includes a 'Gene name' column, the presence of other columns suggests this is a summary table of gene annotations and not raw gene expression data.</t>
  </si>
  <si>
    <t>The provided CSV header does not contain columns for gene names, p-values, or log fold changes.  The header suggests the data relates to circQTLs and circRNAs and their relevance to ASD, but not gene expression data in the format specified.</t>
  </si>
  <si>
    <t>The provided CSV header does not contain columns for gene names, p-values, and log fold changes required to represent autism or ASD gene expression data as described.  While 'Gene synbol' might represent gene names, there are no apparent columns for p-values or log fold changes.</t>
  </si>
  <si>
    <t>The provided CSV data does not contain gene expression data (log fold changes and p-values for gene expression). Instead, it appears to be GWAS (Genome-Wide Association Study) data, showing associations between SNPs (single nucleotide polymorphisms) and autism.  The 'GWAS P of the index SNP' column represents p-values, but these are associated with SNPs, not gene expression.  The data includes a column with gene symbols in some rows (the 'RANGES' column), but these are not consistently present and are embedded within brackets and sometimes include multiple gene symbols separated by commas.  Therefore, the criteria for gene expression data with individual gene names, p-values, and log fold changes are not met.</t>
  </si>
  <si>
    <t>The provided CSV header does not contain columns named 'gene', 'pvalue', or 'log fold change' (or similar names like 'Beta' representing log fold change).  While 'P value' is present, it's unclear if this represents a p-value for differential gene expression related to autism. The data also appears to be about circQTLs (circular RNA quantitative trait loci), not gene expression directly.</t>
  </si>
  <si>
    <t>The provided CSV data contains a header row and columns with gene names ('Symbol'), log fold changes ('LogFC'), and adjusted p-values ('Fdr').  While 'Fdr' is an adjusted p-value and not a raw p-value, it serves the same purpose for identifying significant changes. The data appears to represent gene expression changes, although the specific context of autism or ASD is not explicitly stated.</t>
  </si>
  <si>
    <t>The provided CSV data contains a header row and columns with gene names ('Symbol'), log fold changes ('LogFC'), and adjusted p-values ('Fdr').  While 'Fdr' is an adjusted p-value and not a raw p-value, it serves the same purpose for differential expression analysis. The data appears to represent gene expression changes in a specific cell type ('AST-PP').</t>
  </si>
  <si>
    <t>The provided CSV data contains a header row and columns for gene names ('Symbol'), log fold changes ('LogFC'), and p-values (implied by 'Fdr', which likely represents the false discovery rate, a common multiple-testing correction for p-values).  Each row represents a single gene.</t>
  </si>
  <si>
    <t>The provided text is not a CSV data file; it's a description of a supplementary table.  It does not contain the actual data needed to determine if it contains autism/ASD gene expression data with gene names, p-values, and log fold changes.</t>
  </si>
  <si>
    <t>The provided CSV data does not contain gene expression data (p-values and log fold changes) for individual genes.  Instead, it summarizes the results of differential expression analysis across different cell types, providing counts of differentially expressed genes (DEGs), counts of overlapping SFARI genes (genes associated with autism spectrum disorder), and p-values related to the overlap between DEGs and ASD genes.  There is no column listing individual gene names, p-values, and log fold changes for each gene.</t>
  </si>
  <si>
    <t>The CSV data contains a header row and columns for gene names ('Symbol'), log fold changes ('LogFC relative to other subtypes' and 'LogFC relative to controls'), and p-values ('Fdr relative to other subtypes' and 'Fdr relative to controls').  While there are multiple logFC and p-value columns, and an additional column ('SFARI gene') which may relate to autism, the core requirements are met.</t>
  </si>
  <si>
    <t>The CSV data contains a header row and columns with gene names ('Symbol'), log fold changes ('LogFC relative to other subtypes' and 'LogFC relative to controls'), and p-values ('Fdr relative to other subtypes' and 'Fdr relative to controls').  While the 'Symbol' column contains single gene identifiers in the provided example, the instructions state that this should not be the sole determining factor if other criteria are met.  All necessary columns are present.</t>
  </si>
  <si>
    <t>The provided CSV data does not contain log fold changes.  While it includes p-values (in the 'PValue' column) and gene names (though multiple genes are listed in a single cell in the 'Genes' column), there is no column with log fold change values. Therefore, it does not meet the criteria for containing the required data.</t>
  </si>
  <si>
    <t>The provided CSV data does not contain autism or ASD gene expression data. While it includes columns for p-values ('PValue') and a column that seems to represent gene names ('Genes'), the 'Genes' column contains multiple gene identifiers separated by commas within a single cell.  This structure does not fit the description of each row holding data for a single gene.</t>
  </si>
  <si>
    <t>The provided CSV header does not contain columns for gene names, p-values, and log fold changes as required.  The 'Genes' column appears to contain gene symbols, but the format is not suitable for analysis as it lists multiple genes within a single cell, and there is no log fold change column.</t>
  </si>
  <si>
    <t>The provided CSV snippet does not contain gene expression data in the requested format.  While it has columns that might contain p-values ('CorrectedPvalues') and gene names ('CategoryGenes'), the 'CategoryGenes' column shows multiple gene identifiers within a single cell (e.g., '5S_rRNA.292, ABLIM2, AC005481.5,...'), violating the requirement of one gene per row.  The header row is also not clearly defined, and there is no obvious column for log fold changes.</t>
  </si>
  <si>
    <t>The provided CSV header does not contain columns named 'log fold changes', 'p-values', or 'gene'.  While 'CorrectedPvalues' and 'NumGenes' are present, there is no log fold change information.  The 'CategoryGenes' column contains multiple gene identifiers separated by commas in a single cell, which violates the single gene per row requirement.</t>
  </si>
  <si>
    <t>The provided CSV data does not contain the necessary columns (log fold change, p-value, and gene name) to represent gene expression data related to autism or ASD.  The header row is missing essential column names like 'logFC', 'pvalue', or 'gene'.  The data also appears to be a table of modules and genes, not individual gene expression data.</t>
  </si>
  <si>
    <t>The provided CSV data is incomplete and does not contain a full set of data for all required columns (p-values are missing).  The header row indicates the presence of 'GeneID', 'qPCR log2FC', and 'RNAseq log2FC' columns, suggesting that gene names and log fold changes are present. However, p-values are absent, and the data is truncated, preventing a definitive assessment.</t>
  </si>
  <si>
    <t>The CSV data contains a header row describing columns for geneID, log2FC (log fold change), and FDR (p-value).  The subsequent rows contain data consistent with this structure. While there are additional columns and some rows are empty, the core requirements are met.</t>
  </si>
  <si>
    <t>The provided CSV header does not contain columns for gene names, p-values, or log fold changes.  The header suggests it contains participant characteristics, not gene expression data.</t>
  </si>
  <si>
    <t>lfc-standard</t>
  </si>
  <si>
    <t>Fold Enrichment</t>
  </si>
  <si>
    <t>Table S2A. Differentially expressed genes at day 11 (left) and day 31 (right). geneID: official gene symbol; log2FC: log2 Fold Change; FDR: FDR corrected p-value</t>
  </si>
  <si>
    <t>Table S2B. Validation of RNAseq calls by qPCR. 9 genes at differentiation day 11 and 8 genes at differentiation day 31. Day: day of differentiation; GeneID: gene symbol; qPCR log2FC: log2 fold change between probands and controls by qPCR; RNAseq log2FC: log2 fold change between probands and controls by RNAseq; corr coef: correlation coefficient between logFC by qPCR and log2FC by RNAseq.</t>
  </si>
  <si>
    <t>ST4. Female (F) Controls (CTRL) Regional Analysis. F_CTRL-STS vs F_CTRL-PAC</t>
  </si>
  <si>
    <t>ST7. Summary of Putative Target Analyses. -FC=negative forld change, +FC=positive fold change of miRNA level.</t>
  </si>
  <si>
    <t>CellType Enrichments</t>
  </si>
  <si>
    <t>Table S1. Differential gene and isoform expression summary statistics and DE enrichment analyses</t>
  </si>
  <si>
    <t xml:space="preserve">Table S4. TWAS summary statistics and PRS associations with gene and isoform expression  </t>
  </si>
  <si>
    <t>Table S5. Gene and isoform co-expression module annotation</t>
  </si>
  <si>
    <t xml:space="preserve">LeafCutter cluster ID </t>
  </si>
  <si>
    <t>Table S9A. Summary of clinical information on tissue samples used in the RNAscope FISH experiments</t>
  </si>
  <si>
    <t>Enrichment</t>
  </si>
  <si>
    <t>Direction of change (ASD/Control)</t>
  </si>
  <si>
    <t>Table S7. Analysis of differential gene expression from Perturb-Seq data.</t>
  </si>
  <si>
    <t>Lake et al Science 2016 metadata for neuronal nuclei from an individual female post-mortem brain donor, passing quality control for this study.</t>
  </si>
  <si>
    <t>Relevance of circQTLs to ASD</t>
  </si>
  <si>
    <t>Relevance of circQTLs to SCZ</t>
  </si>
  <si>
    <t>PMI (*The PMI value is not available. Instead, we used the median value of all available PMI values of brain samples deposited in the original stuay (Parikshak NN, Swarup V, Belgard TG, Irimia M, Ramaswami G, Gandal MJ, Hartl C, Leppa V, Ubieta LT, Huang J et al. 2016. Genome-wide changes in lncRNA, splicing, and regional gene expression patterns in autism. Nature 540: 423-427.)</t>
  </si>
  <si>
    <t>DLPFC_RNA_Sequencing_Sample_ID</t>
  </si>
  <si>
    <t>Region_with_Greater_Mean_Expression</t>
  </si>
  <si>
    <t>Mean_NumDiff_CTL</t>
  </si>
  <si>
    <t>Pval_FDR</t>
  </si>
  <si>
    <t>TF_BindingSite_Enrichment</t>
  </si>
  <si>
    <t>NegLog10FDR</t>
  </si>
  <si>
    <t>PFC</t>
  </si>
  <si>
    <t>DE genes from NEBULA mixed model, subsetting cells to match min number of cells/cluster</t>
  </si>
  <si>
    <t>Psychiatric_CoExpression_Modules</t>
  </si>
  <si>
    <t>Logistic regression of diagnosis against age, sex, brain bank, batch, brain region, and 3 principal components representing 95% of the variation in cell-type composition shifts. This model corresponds to Model 1 after adjusting for correlated standard errors, and was compared to Model 0 (diagnosis ~ age, sex, brain bank) in a likelihood ratio test.</t>
  </si>
  <si>
    <t>PFC_EX</t>
  </si>
  <si>
    <t>ANOVA of CLR-transformed cell proportions from top-level clusters</t>
  </si>
  <si>
    <t>Canonical Markers of cortical cell types are used for annotaton in combination with markers from Atlas such as Lake 2013, Lake 2017 and Hogde 2019</t>
  </si>
  <si>
    <t>Supplementary table 4 (A): This sheet contains information of the 118 common differentially expressed genes (P value &lt;0.05 and logFC 0.5)  in the ASD and TS datasets.</t>
  </si>
  <si>
    <t>Supplementary table 3 (C): This sheet contains information of the Gene Ontology terms (FDR &lt;0.05) enriched from the  differentially expressed genes (FDR &lt; 0.05) in the TS dataset.</t>
  </si>
  <si>
    <t>ILF2</t>
  </si>
  <si>
    <t>logef</t>
  </si>
  <si>
    <t>ONTOLOGY</t>
  </si>
  <si>
    <t>Number of cells recoverd from each 10X scRNAseq library.</t>
  </si>
  <si>
    <t>multi genes</t>
  </si>
  <si>
    <t>no lfc columns</t>
  </si>
  <si>
    <t>no data</t>
  </si>
  <si>
    <t>no lfc, multi genes</t>
  </si>
  <si>
    <t>no lfc</t>
  </si>
  <si>
    <t>two tables!</t>
  </si>
  <si>
    <t>multi-LFC, no pval</t>
  </si>
  <si>
    <t>multi genes, no lfc</t>
  </si>
  <si>
    <t>not expression data</t>
  </si>
  <si>
    <t>possibly expression</t>
  </si>
  <si>
    <t>not a gene</t>
  </si>
  <si>
    <t>expression data</t>
  </si>
  <si>
    <t>no gene names</t>
  </si>
  <si>
    <t>no expression data</t>
  </si>
  <si>
    <t>expression data (GWAS?)</t>
  </si>
  <si>
    <t>expression data - gene name?</t>
  </si>
  <si>
    <t>no LFC</t>
  </si>
  <si>
    <t>yes if LFC=Z</t>
  </si>
  <si>
    <t>no gene names or LFC</t>
  </si>
  <si>
    <t>believed not ASD</t>
  </si>
  <si>
    <t>expression data, no p</t>
  </si>
  <si>
    <t>multiple genes</t>
  </si>
  <si>
    <t>no gene name</t>
  </si>
  <si>
    <t>failed download</t>
  </si>
  <si>
    <t>no gene, no lfc</t>
  </si>
  <si>
    <t>not clear, check</t>
  </si>
  <si>
    <t>not clear. SCZ</t>
  </si>
  <si>
    <t>not clear</t>
  </si>
  <si>
    <t>expression data(beta)</t>
  </si>
  <si>
    <t>empty</t>
  </si>
  <si>
    <t>expression data, two tables</t>
  </si>
  <si>
    <t>Multiple genes</t>
  </si>
  <si>
    <t>gene ontology not genes</t>
  </si>
  <si>
    <t>yes same</t>
  </si>
  <si>
    <t>no same</t>
  </si>
  <si>
    <t>yes diff</t>
  </si>
  <si>
    <t>no diff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</si>
</sst>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name val="Calibri"/>
      <family val="2"/>
      <scheme val="minor"/>
    </font>
    <font>
      <sz val="9"/>
      <color indexed="81"/>
      <name val="Tahoma"/>
      <charset val="1"/>
    </font>
    <font>
      <b/>
      <sz val="9"/>
      <color indexed="81"/>
      <name val="Tahoma"/>
      <charset val="1"/>
    </font>
  </fonts>
  <fills count="5">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2" fillId="3" borderId="0" xfId="0" applyFont="1" applyFill="1"/>
    <xf numFmtId="0" fontId="0" fillId="4" borderId="0" xfId="0" applyFill="1"/>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45"/>
  <sheetViews>
    <sheetView tabSelected="1" topLeftCell="B1" workbookViewId="0">
      <pane ySplit="1" topLeftCell="A116" activePane="bottomLeft" state="frozen"/>
      <selection pane="bottomLeft" activeCell="X143" sqref="X143"/>
    </sheetView>
  </sheetViews>
  <sheetFormatPr defaultRowHeight="15" x14ac:dyDescent="0.25"/>
  <cols>
    <col min="2" max="2" width="32.28515625" customWidth="1"/>
    <col min="4" max="4" width="49.7109375" customWidth="1"/>
    <col min="10" max="10" width="19.85546875" customWidth="1"/>
    <col min="12" max="12" width="16.7109375" customWidth="1"/>
    <col min="14" max="14" width="25.42578125" customWidth="1"/>
    <col min="15" max="15" width="31.42578125" customWidth="1"/>
  </cols>
  <sheetData>
    <row r="1" spans="1: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1044</v>
      </c>
      <c r="P1" s="1" t="s">
        <v>14</v>
      </c>
      <c r="Q1" s="1" t="s">
        <v>15</v>
      </c>
      <c r="R1" s="1" t="s">
        <v>16</v>
      </c>
      <c r="S1" s="1" t="s">
        <v>17</v>
      </c>
      <c r="T1" s="1" t="s">
        <v>1115</v>
      </c>
      <c r="U1" s="1" t="s">
        <v>1116</v>
      </c>
      <c r="V1" s="1" t="s">
        <v>1117</v>
      </c>
      <c r="W1" s="1" t="s">
        <v>1118</v>
      </c>
      <c r="X1" s="1" t="s">
        <v>18</v>
      </c>
    </row>
    <row r="2" spans="1:24" x14ac:dyDescent="0.25">
      <c r="A2">
        <v>0</v>
      </c>
      <c r="B2" t="s">
        <v>19</v>
      </c>
      <c r="C2">
        <v>26186191</v>
      </c>
      <c r="D2" t="s">
        <v>32</v>
      </c>
      <c r="E2" t="b">
        <v>1</v>
      </c>
      <c r="F2" t="b">
        <v>0</v>
      </c>
      <c r="H2" t="b">
        <v>0</v>
      </c>
      <c r="I2" t="b">
        <v>0</v>
      </c>
      <c r="K2">
        <v>0</v>
      </c>
      <c r="Q2">
        <v>0</v>
      </c>
      <c r="R2">
        <v>0</v>
      </c>
      <c r="S2" t="b">
        <v>0</v>
      </c>
    </row>
    <row r="3" spans="1:24" x14ac:dyDescent="0.25">
      <c r="A3">
        <v>0</v>
      </c>
      <c r="B3" t="s">
        <v>19</v>
      </c>
      <c r="C3">
        <v>26186191</v>
      </c>
      <c r="D3" t="s">
        <v>33</v>
      </c>
      <c r="E3" t="b">
        <v>1</v>
      </c>
      <c r="F3" t="b">
        <v>0</v>
      </c>
      <c r="H3" t="b">
        <v>0</v>
      </c>
      <c r="I3" t="b">
        <v>0</v>
      </c>
      <c r="K3">
        <v>0</v>
      </c>
      <c r="Q3">
        <v>0</v>
      </c>
      <c r="R3">
        <v>0</v>
      </c>
      <c r="S3" t="b">
        <v>0</v>
      </c>
    </row>
    <row r="4" spans="1:24" x14ac:dyDescent="0.25">
      <c r="A4">
        <v>0</v>
      </c>
      <c r="B4" t="s">
        <v>19</v>
      </c>
      <c r="C4">
        <v>26186191</v>
      </c>
      <c r="D4" t="s">
        <v>34</v>
      </c>
      <c r="E4" t="b">
        <v>1</v>
      </c>
      <c r="F4" t="b">
        <v>0</v>
      </c>
      <c r="H4" t="b">
        <v>0</v>
      </c>
      <c r="I4" t="b">
        <v>0</v>
      </c>
      <c r="K4">
        <v>0</v>
      </c>
      <c r="Q4">
        <v>0</v>
      </c>
      <c r="R4">
        <v>0</v>
      </c>
      <c r="S4" t="b">
        <v>0</v>
      </c>
    </row>
    <row r="5" spans="1:24" x14ac:dyDescent="0.25">
      <c r="A5">
        <v>0</v>
      </c>
      <c r="B5" t="s">
        <v>19</v>
      </c>
      <c r="C5">
        <v>26186191</v>
      </c>
      <c r="D5" t="s">
        <v>35</v>
      </c>
      <c r="E5" t="b">
        <v>1</v>
      </c>
      <c r="F5" t="b">
        <v>0</v>
      </c>
      <c r="H5" t="b">
        <v>0</v>
      </c>
      <c r="I5" t="b">
        <v>0</v>
      </c>
      <c r="K5">
        <v>0</v>
      </c>
      <c r="Q5">
        <v>0</v>
      </c>
      <c r="R5">
        <v>0</v>
      </c>
      <c r="S5" t="b">
        <v>0</v>
      </c>
    </row>
    <row r="6" spans="1:24" x14ac:dyDescent="0.25">
      <c r="A6">
        <v>0</v>
      </c>
      <c r="B6" t="s">
        <v>19</v>
      </c>
      <c r="C6">
        <v>26186191</v>
      </c>
      <c r="D6" t="s">
        <v>36</v>
      </c>
      <c r="E6" t="b">
        <v>1</v>
      </c>
      <c r="F6" t="b">
        <v>0</v>
      </c>
      <c r="H6" t="b">
        <v>0</v>
      </c>
      <c r="I6" t="b">
        <v>0</v>
      </c>
      <c r="K6">
        <v>0</v>
      </c>
      <c r="Q6">
        <v>0</v>
      </c>
      <c r="R6">
        <v>0</v>
      </c>
      <c r="S6" t="b">
        <v>0</v>
      </c>
    </row>
    <row r="7" spans="1:24" x14ac:dyDescent="0.25">
      <c r="A7">
        <v>0</v>
      </c>
      <c r="B7" t="s">
        <v>19</v>
      </c>
      <c r="C7">
        <v>26186191</v>
      </c>
      <c r="D7" t="s">
        <v>37</v>
      </c>
      <c r="E7" t="b">
        <v>1</v>
      </c>
      <c r="F7" t="b">
        <v>0</v>
      </c>
      <c r="H7" t="b">
        <v>0</v>
      </c>
      <c r="I7" t="b">
        <v>0</v>
      </c>
      <c r="K7">
        <v>0</v>
      </c>
      <c r="Q7">
        <v>0</v>
      </c>
      <c r="R7">
        <v>0</v>
      </c>
      <c r="S7" t="b">
        <v>0</v>
      </c>
    </row>
    <row r="8" spans="1:24" x14ac:dyDescent="0.25">
      <c r="A8">
        <v>0</v>
      </c>
      <c r="B8" t="s">
        <v>19</v>
      </c>
      <c r="C8">
        <v>26186191</v>
      </c>
      <c r="D8" t="s">
        <v>38</v>
      </c>
      <c r="E8" t="b">
        <v>1</v>
      </c>
      <c r="F8" t="b">
        <v>0</v>
      </c>
      <c r="H8" t="b">
        <v>0</v>
      </c>
      <c r="I8" t="b">
        <v>0</v>
      </c>
      <c r="K8">
        <v>0</v>
      </c>
      <c r="Q8">
        <v>0</v>
      </c>
      <c r="R8">
        <v>0</v>
      </c>
      <c r="S8" t="b">
        <v>0</v>
      </c>
    </row>
    <row r="9" spans="1:24" x14ac:dyDescent="0.25">
      <c r="A9">
        <v>0</v>
      </c>
      <c r="B9" t="s">
        <v>20</v>
      </c>
      <c r="C9">
        <v>28184278</v>
      </c>
      <c r="D9" t="s">
        <v>39</v>
      </c>
      <c r="E9" t="b">
        <v>1</v>
      </c>
      <c r="F9" t="b">
        <v>0</v>
      </c>
      <c r="H9" t="b">
        <v>0</v>
      </c>
      <c r="I9" t="b">
        <v>0</v>
      </c>
      <c r="K9">
        <v>0</v>
      </c>
      <c r="Q9">
        <v>0</v>
      </c>
      <c r="R9">
        <v>0</v>
      </c>
      <c r="S9" t="b">
        <v>0</v>
      </c>
    </row>
    <row r="10" spans="1:24" x14ac:dyDescent="0.25">
      <c r="A10">
        <v>0</v>
      </c>
      <c r="B10" t="s">
        <v>21</v>
      </c>
      <c r="C10">
        <v>30545856</v>
      </c>
      <c r="D10" t="s">
        <v>40</v>
      </c>
      <c r="E10" t="b">
        <v>1</v>
      </c>
      <c r="F10" t="b">
        <v>0</v>
      </c>
      <c r="H10" t="b">
        <v>0</v>
      </c>
      <c r="I10" t="b">
        <v>0</v>
      </c>
      <c r="K10">
        <v>0</v>
      </c>
      <c r="Q10">
        <v>0</v>
      </c>
      <c r="R10">
        <v>0</v>
      </c>
      <c r="S10" t="b">
        <v>0</v>
      </c>
    </row>
    <row r="11" spans="1:24" x14ac:dyDescent="0.25">
      <c r="A11">
        <v>0</v>
      </c>
      <c r="B11" t="s">
        <v>21</v>
      </c>
      <c r="C11">
        <v>30545856</v>
      </c>
      <c r="D11" t="s">
        <v>41</v>
      </c>
      <c r="E11" t="b">
        <v>1</v>
      </c>
      <c r="F11" t="b">
        <v>0</v>
      </c>
      <c r="H11" t="b">
        <v>0</v>
      </c>
      <c r="I11" t="b">
        <v>0</v>
      </c>
      <c r="K11">
        <v>0</v>
      </c>
      <c r="Q11">
        <v>0</v>
      </c>
      <c r="R11">
        <v>0</v>
      </c>
      <c r="S11" t="b">
        <v>0</v>
      </c>
    </row>
    <row r="12" spans="1:24" x14ac:dyDescent="0.25">
      <c r="A12">
        <v>0</v>
      </c>
      <c r="B12" t="s">
        <v>21</v>
      </c>
      <c r="C12">
        <v>30545856</v>
      </c>
      <c r="D12" t="s">
        <v>42</v>
      </c>
      <c r="E12" t="b">
        <v>1</v>
      </c>
      <c r="F12" t="b">
        <v>0</v>
      </c>
      <c r="H12" t="b">
        <v>0</v>
      </c>
      <c r="I12" t="b">
        <v>0</v>
      </c>
      <c r="K12">
        <v>0</v>
      </c>
      <c r="Q12">
        <v>0</v>
      </c>
      <c r="R12">
        <v>0</v>
      </c>
      <c r="S12" t="b">
        <v>0</v>
      </c>
    </row>
    <row r="13" spans="1:24" x14ac:dyDescent="0.25">
      <c r="A13">
        <v>0</v>
      </c>
      <c r="B13" t="s">
        <v>21</v>
      </c>
      <c r="C13">
        <v>30545856</v>
      </c>
      <c r="D13" t="s">
        <v>43</v>
      </c>
      <c r="E13" t="b">
        <v>1</v>
      </c>
      <c r="F13" t="b">
        <v>0</v>
      </c>
      <c r="H13" t="b">
        <v>0</v>
      </c>
      <c r="I13" t="b">
        <v>0</v>
      </c>
      <c r="K13">
        <v>0</v>
      </c>
      <c r="Q13">
        <v>0</v>
      </c>
      <c r="R13">
        <v>0</v>
      </c>
      <c r="S13" t="b">
        <v>0</v>
      </c>
    </row>
    <row r="14" spans="1:24" x14ac:dyDescent="0.25">
      <c r="A14">
        <v>0</v>
      </c>
      <c r="B14" t="s">
        <v>21</v>
      </c>
      <c r="C14">
        <v>30545856</v>
      </c>
      <c r="D14" t="s">
        <v>81</v>
      </c>
      <c r="E14" t="b">
        <v>1</v>
      </c>
      <c r="F14" t="b">
        <v>0</v>
      </c>
      <c r="H14" t="b">
        <v>0</v>
      </c>
      <c r="I14" t="b">
        <v>0</v>
      </c>
      <c r="K14">
        <v>0</v>
      </c>
      <c r="Q14">
        <v>0</v>
      </c>
      <c r="R14">
        <v>0</v>
      </c>
      <c r="S14" t="b">
        <v>0</v>
      </c>
    </row>
    <row r="15" spans="1:24" x14ac:dyDescent="0.25">
      <c r="A15">
        <v>0</v>
      </c>
      <c r="B15" t="s">
        <v>21</v>
      </c>
      <c r="C15">
        <v>30545856</v>
      </c>
      <c r="D15" t="s">
        <v>82</v>
      </c>
      <c r="E15" t="b">
        <v>1</v>
      </c>
      <c r="F15" t="b">
        <v>0</v>
      </c>
      <c r="H15" t="b">
        <v>0</v>
      </c>
      <c r="I15" t="b">
        <v>0</v>
      </c>
      <c r="K15">
        <v>0</v>
      </c>
      <c r="Q15">
        <v>0</v>
      </c>
      <c r="R15">
        <v>0</v>
      </c>
      <c r="S15" t="b">
        <v>0</v>
      </c>
    </row>
    <row r="16" spans="1:24" x14ac:dyDescent="0.25">
      <c r="A16">
        <v>0</v>
      </c>
      <c r="B16" t="s">
        <v>21</v>
      </c>
      <c r="C16">
        <v>30545856</v>
      </c>
      <c r="D16" t="s">
        <v>83</v>
      </c>
      <c r="E16" t="b">
        <v>1</v>
      </c>
      <c r="F16" t="b">
        <v>0</v>
      </c>
      <c r="H16" t="b">
        <v>0</v>
      </c>
      <c r="I16" t="b">
        <v>0</v>
      </c>
      <c r="K16">
        <v>0</v>
      </c>
      <c r="Q16">
        <v>0</v>
      </c>
      <c r="R16">
        <v>0</v>
      </c>
      <c r="S16" t="b">
        <v>0</v>
      </c>
    </row>
    <row r="17" spans="1:19" x14ac:dyDescent="0.25">
      <c r="A17">
        <v>0</v>
      </c>
      <c r="B17" t="s">
        <v>21</v>
      </c>
      <c r="C17">
        <v>30545856</v>
      </c>
      <c r="D17" t="s">
        <v>84</v>
      </c>
      <c r="E17" t="b">
        <v>1</v>
      </c>
      <c r="F17" t="b">
        <v>0</v>
      </c>
      <c r="H17" t="b">
        <v>0</v>
      </c>
      <c r="I17" t="b">
        <v>0</v>
      </c>
      <c r="K17">
        <v>0</v>
      </c>
      <c r="Q17">
        <v>0</v>
      </c>
      <c r="R17">
        <v>0</v>
      </c>
      <c r="S17" t="b">
        <v>0</v>
      </c>
    </row>
    <row r="18" spans="1:19" x14ac:dyDescent="0.25">
      <c r="A18">
        <v>0</v>
      </c>
      <c r="B18" t="s">
        <v>21</v>
      </c>
      <c r="C18">
        <v>30545856</v>
      </c>
      <c r="D18" t="s">
        <v>85</v>
      </c>
      <c r="E18" t="b">
        <v>1</v>
      </c>
      <c r="F18" t="b">
        <v>0</v>
      </c>
      <c r="H18" t="b">
        <v>0</v>
      </c>
      <c r="I18" t="b">
        <v>0</v>
      </c>
      <c r="K18">
        <v>0</v>
      </c>
      <c r="Q18">
        <v>0</v>
      </c>
      <c r="R18">
        <v>0</v>
      </c>
      <c r="S18" t="b">
        <v>0</v>
      </c>
    </row>
    <row r="19" spans="1:19" x14ac:dyDescent="0.25">
      <c r="A19">
        <v>0</v>
      </c>
      <c r="B19" t="s">
        <v>27</v>
      </c>
      <c r="C19">
        <v>31097668</v>
      </c>
      <c r="D19" t="s">
        <v>86</v>
      </c>
      <c r="E19" t="b">
        <v>1</v>
      </c>
      <c r="F19" t="b">
        <v>0</v>
      </c>
      <c r="H19" t="b">
        <v>0</v>
      </c>
      <c r="I19" t="b">
        <v>0</v>
      </c>
      <c r="K19">
        <v>0</v>
      </c>
      <c r="Q19">
        <v>0</v>
      </c>
      <c r="R19">
        <v>0</v>
      </c>
      <c r="S19" t="b">
        <v>0</v>
      </c>
    </row>
    <row r="20" spans="1:19" x14ac:dyDescent="0.25">
      <c r="A20">
        <v>0</v>
      </c>
      <c r="B20" t="s">
        <v>27</v>
      </c>
      <c r="C20">
        <v>31097668</v>
      </c>
      <c r="D20" t="s">
        <v>87</v>
      </c>
      <c r="E20" t="b">
        <v>1</v>
      </c>
      <c r="F20" t="b">
        <v>0</v>
      </c>
      <c r="H20" t="b">
        <v>0</v>
      </c>
      <c r="I20" t="b">
        <v>0</v>
      </c>
      <c r="K20">
        <v>0</v>
      </c>
      <c r="Q20">
        <v>0</v>
      </c>
      <c r="R20">
        <v>0</v>
      </c>
      <c r="S20" t="b">
        <v>0</v>
      </c>
    </row>
    <row r="21" spans="1:19" x14ac:dyDescent="0.25">
      <c r="A21">
        <v>0</v>
      </c>
      <c r="B21" t="s">
        <v>27</v>
      </c>
      <c r="C21">
        <v>31097668</v>
      </c>
      <c r="D21" t="s">
        <v>88</v>
      </c>
      <c r="E21" t="b">
        <v>1</v>
      </c>
      <c r="F21" t="b">
        <v>0</v>
      </c>
      <c r="H21" t="b">
        <v>0</v>
      </c>
      <c r="I21" t="b">
        <v>0</v>
      </c>
      <c r="K21">
        <v>0</v>
      </c>
      <c r="Q21">
        <v>0</v>
      </c>
      <c r="R21">
        <v>0</v>
      </c>
      <c r="S21" t="b">
        <v>0</v>
      </c>
    </row>
    <row r="22" spans="1:19" x14ac:dyDescent="0.25">
      <c r="A22">
        <v>0</v>
      </c>
      <c r="B22" t="s">
        <v>27</v>
      </c>
      <c r="C22">
        <v>31097668</v>
      </c>
      <c r="D22" t="s">
        <v>89</v>
      </c>
      <c r="E22" t="b">
        <v>1</v>
      </c>
      <c r="F22" t="b">
        <v>0</v>
      </c>
      <c r="H22" t="b">
        <v>0</v>
      </c>
      <c r="I22" t="b">
        <v>0</v>
      </c>
      <c r="K22">
        <v>0</v>
      </c>
      <c r="Q22">
        <v>0</v>
      </c>
      <c r="R22">
        <v>0</v>
      </c>
      <c r="S22" t="b">
        <v>0</v>
      </c>
    </row>
    <row r="23" spans="1:19" x14ac:dyDescent="0.25">
      <c r="A23">
        <v>0</v>
      </c>
      <c r="B23" t="s">
        <v>27</v>
      </c>
      <c r="C23">
        <v>31097668</v>
      </c>
      <c r="D23" t="s">
        <v>90</v>
      </c>
      <c r="E23" t="b">
        <v>1</v>
      </c>
      <c r="F23" t="b">
        <v>0</v>
      </c>
      <c r="H23" t="b">
        <v>0</v>
      </c>
      <c r="I23" t="b">
        <v>0</v>
      </c>
      <c r="K23">
        <v>0</v>
      </c>
      <c r="Q23">
        <v>0</v>
      </c>
      <c r="R23">
        <v>0</v>
      </c>
      <c r="S23" t="b">
        <v>0</v>
      </c>
    </row>
    <row r="24" spans="1:19" x14ac:dyDescent="0.25">
      <c r="A24">
        <v>0</v>
      </c>
      <c r="B24" t="s">
        <v>28</v>
      </c>
      <c r="C24">
        <v>33243861</v>
      </c>
      <c r="D24" t="s">
        <v>91</v>
      </c>
      <c r="E24" t="b">
        <v>1</v>
      </c>
      <c r="F24" t="b">
        <v>0</v>
      </c>
      <c r="H24" t="b">
        <v>0</v>
      </c>
      <c r="I24" t="b">
        <v>0</v>
      </c>
      <c r="K24">
        <v>0</v>
      </c>
      <c r="Q24">
        <v>0</v>
      </c>
      <c r="R24">
        <v>0</v>
      </c>
      <c r="S24" t="b">
        <v>0</v>
      </c>
    </row>
    <row r="25" spans="1:19" x14ac:dyDescent="0.25">
      <c r="A25">
        <v>0</v>
      </c>
      <c r="B25" t="s">
        <v>28</v>
      </c>
      <c r="C25">
        <v>33243861</v>
      </c>
      <c r="D25" t="s">
        <v>92</v>
      </c>
      <c r="E25" t="b">
        <v>1</v>
      </c>
      <c r="F25" t="b">
        <v>0</v>
      </c>
      <c r="H25" t="b">
        <v>0</v>
      </c>
      <c r="I25" t="b">
        <v>0</v>
      </c>
      <c r="K25">
        <v>0</v>
      </c>
      <c r="Q25">
        <v>0</v>
      </c>
      <c r="R25">
        <v>0</v>
      </c>
      <c r="S25" t="b">
        <v>0</v>
      </c>
    </row>
    <row r="26" spans="1:19" x14ac:dyDescent="0.25">
      <c r="A26">
        <v>0</v>
      </c>
      <c r="B26" t="s">
        <v>28</v>
      </c>
      <c r="C26">
        <v>33243861</v>
      </c>
      <c r="D26" t="s">
        <v>93</v>
      </c>
      <c r="E26" t="b">
        <v>1</v>
      </c>
      <c r="F26" t="b">
        <v>0</v>
      </c>
      <c r="H26" t="b">
        <v>0</v>
      </c>
      <c r="I26" t="b">
        <v>0</v>
      </c>
      <c r="K26">
        <v>0</v>
      </c>
      <c r="Q26">
        <v>0</v>
      </c>
      <c r="R26">
        <v>0</v>
      </c>
      <c r="S26" t="b">
        <v>0</v>
      </c>
    </row>
    <row r="27" spans="1:19" x14ac:dyDescent="0.25">
      <c r="A27">
        <v>0</v>
      </c>
      <c r="B27" t="s">
        <v>28</v>
      </c>
      <c r="C27">
        <v>33243861</v>
      </c>
      <c r="D27" t="s">
        <v>94</v>
      </c>
      <c r="E27" t="b">
        <v>1</v>
      </c>
      <c r="F27" t="b">
        <v>0</v>
      </c>
      <c r="H27" t="b">
        <v>0</v>
      </c>
      <c r="I27" t="b">
        <v>0</v>
      </c>
      <c r="K27">
        <v>0</v>
      </c>
      <c r="Q27">
        <v>0</v>
      </c>
      <c r="R27">
        <v>0</v>
      </c>
      <c r="S27" t="b">
        <v>0</v>
      </c>
    </row>
    <row r="28" spans="1:19" x14ac:dyDescent="0.25">
      <c r="A28">
        <v>0</v>
      </c>
      <c r="B28" t="s">
        <v>28</v>
      </c>
      <c r="C28">
        <v>33243861</v>
      </c>
      <c r="D28" t="s">
        <v>95</v>
      </c>
      <c r="E28" t="b">
        <v>1</v>
      </c>
      <c r="F28" t="b">
        <v>0</v>
      </c>
      <c r="H28" t="b">
        <v>0</v>
      </c>
      <c r="I28" t="b">
        <v>0</v>
      </c>
      <c r="K28">
        <v>0</v>
      </c>
      <c r="Q28">
        <v>0</v>
      </c>
      <c r="R28">
        <v>0</v>
      </c>
      <c r="S28" t="b">
        <v>0</v>
      </c>
    </row>
    <row r="29" spans="1:19" x14ac:dyDescent="0.25">
      <c r="A29">
        <v>0</v>
      </c>
      <c r="B29" t="s">
        <v>28</v>
      </c>
      <c r="C29">
        <v>33243861</v>
      </c>
      <c r="D29" t="s">
        <v>96</v>
      </c>
      <c r="E29" t="b">
        <v>1</v>
      </c>
      <c r="F29" t="b">
        <v>0</v>
      </c>
      <c r="H29" t="b">
        <v>0</v>
      </c>
      <c r="I29" t="b">
        <v>0</v>
      </c>
      <c r="K29">
        <v>0</v>
      </c>
      <c r="Q29">
        <v>0</v>
      </c>
      <c r="R29">
        <v>0</v>
      </c>
      <c r="S29" t="b">
        <v>0</v>
      </c>
    </row>
    <row r="30" spans="1:19" x14ac:dyDescent="0.25">
      <c r="A30">
        <v>0</v>
      </c>
      <c r="B30" t="s">
        <v>28</v>
      </c>
      <c r="C30">
        <v>33243861</v>
      </c>
      <c r="D30" t="s">
        <v>97</v>
      </c>
      <c r="E30" t="b">
        <v>1</v>
      </c>
      <c r="F30" t="b">
        <v>0</v>
      </c>
      <c r="H30" t="b">
        <v>0</v>
      </c>
      <c r="I30" t="b">
        <v>0</v>
      </c>
      <c r="K30">
        <v>0</v>
      </c>
      <c r="Q30">
        <v>0</v>
      </c>
      <c r="R30">
        <v>0</v>
      </c>
      <c r="S30" t="b">
        <v>0</v>
      </c>
    </row>
    <row r="31" spans="1:19" x14ac:dyDescent="0.25">
      <c r="A31">
        <v>0</v>
      </c>
      <c r="B31" t="s">
        <v>28</v>
      </c>
      <c r="C31">
        <v>33243861</v>
      </c>
      <c r="D31" t="s">
        <v>98</v>
      </c>
      <c r="E31" t="b">
        <v>1</v>
      </c>
      <c r="F31" t="b">
        <v>0</v>
      </c>
      <c r="H31" t="b">
        <v>0</v>
      </c>
      <c r="I31" t="b">
        <v>0</v>
      </c>
      <c r="K31">
        <v>0</v>
      </c>
      <c r="Q31">
        <v>0</v>
      </c>
      <c r="R31">
        <v>0</v>
      </c>
      <c r="S31" t="b">
        <v>0</v>
      </c>
    </row>
    <row r="32" spans="1:19" x14ac:dyDescent="0.25">
      <c r="A32">
        <v>0</v>
      </c>
      <c r="B32" t="s">
        <v>28</v>
      </c>
      <c r="C32">
        <v>33243861</v>
      </c>
      <c r="D32" t="s">
        <v>99</v>
      </c>
      <c r="E32" t="b">
        <v>1</v>
      </c>
      <c r="F32" t="b">
        <v>0</v>
      </c>
      <c r="H32" t="b">
        <v>0</v>
      </c>
      <c r="I32" t="b">
        <v>0</v>
      </c>
      <c r="K32">
        <v>0</v>
      </c>
      <c r="Q32">
        <v>0</v>
      </c>
      <c r="R32">
        <v>0</v>
      </c>
      <c r="S32" t="b">
        <v>0</v>
      </c>
    </row>
    <row r="33" spans="1:19" x14ac:dyDescent="0.25">
      <c r="A33">
        <v>0</v>
      </c>
      <c r="B33" t="s">
        <v>28</v>
      </c>
      <c r="C33">
        <v>33243861</v>
      </c>
      <c r="D33" t="s">
        <v>100</v>
      </c>
      <c r="E33" t="b">
        <v>1</v>
      </c>
      <c r="F33" t="b">
        <v>0</v>
      </c>
      <c r="H33" t="b">
        <v>0</v>
      </c>
      <c r="I33" t="b">
        <v>0</v>
      </c>
      <c r="K33">
        <v>0</v>
      </c>
      <c r="Q33">
        <v>0</v>
      </c>
      <c r="R33">
        <v>0</v>
      </c>
      <c r="S33" t="b">
        <v>0</v>
      </c>
    </row>
    <row r="34" spans="1:19" x14ac:dyDescent="0.25">
      <c r="A34">
        <v>0</v>
      </c>
      <c r="B34" t="s">
        <v>29</v>
      </c>
      <c r="C34">
        <v>33262327</v>
      </c>
      <c r="D34" t="s">
        <v>101</v>
      </c>
      <c r="E34" t="b">
        <v>1</v>
      </c>
      <c r="F34" t="b">
        <v>0</v>
      </c>
      <c r="H34" t="b">
        <v>0</v>
      </c>
      <c r="I34" t="b">
        <v>0</v>
      </c>
      <c r="K34">
        <v>0</v>
      </c>
      <c r="Q34">
        <v>0</v>
      </c>
      <c r="R34">
        <v>0</v>
      </c>
      <c r="S34" t="b">
        <v>0</v>
      </c>
    </row>
    <row r="35" spans="1:19" x14ac:dyDescent="0.25">
      <c r="A35">
        <v>0</v>
      </c>
      <c r="B35" t="s">
        <v>29</v>
      </c>
      <c r="C35">
        <v>33262327</v>
      </c>
      <c r="D35" t="s">
        <v>102</v>
      </c>
      <c r="E35" t="b">
        <v>1</v>
      </c>
      <c r="F35" t="b">
        <v>0</v>
      </c>
      <c r="H35" t="b">
        <v>0</v>
      </c>
      <c r="I35" t="b">
        <v>0</v>
      </c>
      <c r="K35">
        <v>0</v>
      </c>
      <c r="Q35">
        <v>0</v>
      </c>
      <c r="R35">
        <v>0</v>
      </c>
      <c r="S35" t="b">
        <v>0</v>
      </c>
    </row>
    <row r="36" spans="1:19" x14ac:dyDescent="0.25">
      <c r="A36">
        <v>0</v>
      </c>
      <c r="B36" t="s">
        <v>29</v>
      </c>
      <c r="C36">
        <v>33262327</v>
      </c>
      <c r="D36" t="s">
        <v>103</v>
      </c>
      <c r="E36" t="b">
        <v>1</v>
      </c>
      <c r="F36" t="b">
        <v>0</v>
      </c>
      <c r="H36" t="b">
        <v>0</v>
      </c>
      <c r="I36" t="b">
        <v>0</v>
      </c>
      <c r="K36">
        <v>0</v>
      </c>
      <c r="Q36">
        <v>0</v>
      </c>
      <c r="R36">
        <v>0</v>
      </c>
      <c r="S36" t="b">
        <v>0</v>
      </c>
    </row>
    <row r="37" spans="1:19" x14ac:dyDescent="0.25">
      <c r="A37">
        <v>0</v>
      </c>
      <c r="B37" t="s">
        <v>30</v>
      </c>
      <c r="C37">
        <v>34535545</v>
      </c>
      <c r="D37" t="s">
        <v>104</v>
      </c>
      <c r="E37" t="b">
        <v>1</v>
      </c>
      <c r="F37" t="b">
        <v>0</v>
      </c>
      <c r="H37" t="b">
        <v>0</v>
      </c>
      <c r="I37" t="b">
        <v>0</v>
      </c>
      <c r="K37">
        <v>0</v>
      </c>
      <c r="Q37">
        <v>0</v>
      </c>
      <c r="R37">
        <v>0</v>
      </c>
      <c r="S37" t="b">
        <v>0</v>
      </c>
    </row>
    <row r="38" spans="1:19" x14ac:dyDescent="0.25">
      <c r="A38">
        <v>0</v>
      </c>
      <c r="B38" t="s">
        <v>31</v>
      </c>
      <c r="C38">
        <v>35962193</v>
      </c>
      <c r="D38" t="s">
        <v>105</v>
      </c>
      <c r="E38" t="b">
        <v>1</v>
      </c>
      <c r="F38" t="b">
        <v>0</v>
      </c>
      <c r="H38" t="b">
        <v>0</v>
      </c>
      <c r="I38" t="b">
        <v>0</v>
      </c>
      <c r="K38">
        <v>0</v>
      </c>
      <c r="Q38">
        <v>0</v>
      </c>
      <c r="R38">
        <v>0</v>
      </c>
      <c r="S38" t="b">
        <v>0</v>
      </c>
    </row>
    <row r="39" spans="1:19" x14ac:dyDescent="0.25">
      <c r="A39">
        <v>0</v>
      </c>
      <c r="B39" t="s">
        <v>31</v>
      </c>
      <c r="C39">
        <v>35962193</v>
      </c>
      <c r="D39" t="s">
        <v>106</v>
      </c>
      <c r="E39" t="b">
        <v>1</v>
      </c>
      <c r="F39" t="b">
        <v>0</v>
      </c>
      <c r="H39" t="b">
        <v>0</v>
      </c>
      <c r="I39" t="b">
        <v>0</v>
      </c>
      <c r="K39">
        <v>0</v>
      </c>
      <c r="Q39">
        <v>0</v>
      </c>
      <c r="R39">
        <v>0</v>
      </c>
      <c r="S39" t="b">
        <v>0</v>
      </c>
    </row>
    <row r="40" spans="1:19" x14ac:dyDescent="0.25">
      <c r="A40">
        <v>0</v>
      </c>
      <c r="B40" t="s">
        <v>31</v>
      </c>
      <c r="C40">
        <v>35962193</v>
      </c>
      <c r="D40" t="s">
        <v>107</v>
      </c>
      <c r="E40" t="b">
        <v>1</v>
      </c>
      <c r="F40" t="b">
        <v>0</v>
      </c>
      <c r="H40" t="b">
        <v>0</v>
      </c>
      <c r="I40" t="b">
        <v>0</v>
      </c>
      <c r="K40">
        <v>0</v>
      </c>
      <c r="Q40">
        <v>0</v>
      </c>
      <c r="R40">
        <v>0</v>
      </c>
      <c r="S40" t="b">
        <v>0</v>
      </c>
    </row>
    <row r="41" spans="1:19" x14ac:dyDescent="0.25">
      <c r="A41">
        <v>0</v>
      </c>
      <c r="B41" t="s">
        <v>31</v>
      </c>
      <c r="C41">
        <v>35962193</v>
      </c>
      <c r="D41" t="s">
        <v>108</v>
      </c>
      <c r="E41" t="b">
        <v>1</v>
      </c>
      <c r="F41" t="b">
        <v>0</v>
      </c>
      <c r="H41" t="b">
        <v>0</v>
      </c>
      <c r="I41" t="b">
        <v>0</v>
      </c>
      <c r="K41">
        <v>0</v>
      </c>
      <c r="Q41">
        <v>0</v>
      </c>
      <c r="R41">
        <v>0</v>
      </c>
      <c r="S41" t="b">
        <v>0</v>
      </c>
    </row>
    <row r="42" spans="1:19" x14ac:dyDescent="0.25">
      <c r="A42">
        <v>0</v>
      </c>
      <c r="B42" t="s">
        <v>31</v>
      </c>
      <c r="C42">
        <v>35962193</v>
      </c>
      <c r="D42" t="s">
        <v>109</v>
      </c>
      <c r="E42" t="b">
        <v>1</v>
      </c>
      <c r="F42" t="b">
        <v>0</v>
      </c>
      <c r="H42" t="b">
        <v>0</v>
      </c>
      <c r="I42" t="b">
        <v>0</v>
      </c>
      <c r="K42">
        <v>0</v>
      </c>
      <c r="Q42">
        <v>0</v>
      </c>
      <c r="R42">
        <v>0</v>
      </c>
      <c r="S42" t="b">
        <v>0</v>
      </c>
    </row>
    <row r="43" spans="1:19" x14ac:dyDescent="0.25">
      <c r="A43">
        <v>0</v>
      </c>
      <c r="B43" t="s">
        <v>31</v>
      </c>
      <c r="C43">
        <v>35962193</v>
      </c>
      <c r="D43" t="s">
        <v>110</v>
      </c>
      <c r="E43" t="b">
        <v>1</v>
      </c>
      <c r="F43" t="b">
        <v>0</v>
      </c>
      <c r="H43" t="b">
        <v>0</v>
      </c>
      <c r="I43" t="b">
        <v>0</v>
      </c>
      <c r="K43">
        <v>0</v>
      </c>
      <c r="Q43">
        <v>0</v>
      </c>
      <c r="R43">
        <v>0</v>
      </c>
      <c r="S43" t="b">
        <v>0</v>
      </c>
    </row>
    <row r="44" spans="1:19" x14ac:dyDescent="0.25">
      <c r="A44">
        <v>0</v>
      </c>
      <c r="B44" t="s">
        <v>31</v>
      </c>
      <c r="C44">
        <v>35962193</v>
      </c>
      <c r="D44" t="s">
        <v>111</v>
      </c>
      <c r="E44" t="b">
        <v>1</v>
      </c>
      <c r="F44" t="b">
        <v>0</v>
      </c>
      <c r="H44" t="b">
        <v>0</v>
      </c>
      <c r="I44" t="b">
        <v>0</v>
      </c>
      <c r="K44">
        <v>0</v>
      </c>
      <c r="Q44">
        <v>0</v>
      </c>
      <c r="R44">
        <v>0</v>
      </c>
      <c r="S44" t="b">
        <v>0</v>
      </c>
    </row>
    <row r="45" spans="1:19" x14ac:dyDescent="0.25">
      <c r="A45">
        <v>0</v>
      </c>
      <c r="B45" t="s">
        <v>31</v>
      </c>
      <c r="C45">
        <v>35962193</v>
      </c>
      <c r="D45" t="s">
        <v>112</v>
      </c>
      <c r="E45" t="b">
        <v>1</v>
      </c>
      <c r="F45" t="b">
        <v>0</v>
      </c>
      <c r="H45" t="b">
        <v>0</v>
      </c>
      <c r="I45" t="b">
        <v>0</v>
      </c>
      <c r="K45">
        <v>0</v>
      </c>
      <c r="Q45">
        <v>0</v>
      </c>
      <c r="R45">
        <v>0</v>
      </c>
      <c r="S45" t="b">
        <v>0</v>
      </c>
    </row>
    <row r="46" spans="1:19" x14ac:dyDescent="0.25">
      <c r="A46">
        <v>0</v>
      </c>
      <c r="B46" t="s">
        <v>22</v>
      </c>
      <c r="C46">
        <v>36323788</v>
      </c>
      <c r="D46" t="s">
        <v>113</v>
      </c>
      <c r="E46" t="b">
        <v>1</v>
      </c>
      <c r="F46" t="b">
        <v>0</v>
      </c>
      <c r="H46" t="b">
        <v>0</v>
      </c>
      <c r="I46" t="b">
        <v>0</v>
      </c>
      <c r="K46">
        <v>0</v>
      </c>
      <c r="Q46">
        <v>0</v>
      </c>
      <c r="R46">
        <v>0</v>
      </c>
      <c r="S46" t="b">
        <v>0</v>
      </c>
    </row>
    <row r="47" spans="1:19" x14ac:dyDescent="0.25">
      <c r="A47">
        <v>0</v>
      </c>
      <c r="B47" t="s">
        <v>22</v>
      </c>
      <c r="C47">
        <v>36323788</v>
      </c>
      <c r="D47" t="s">
        <v>114</v>
      </c>
      <c r="E47" t="b">
        <v>1</v>
      </c>
      <c r="F47" t="b">
        <v>0</v>
      </c>
      <c r="H47" t="b">
        <v>0</v>
      </c>
      <c r="I47" t="b">
        <v>0</v>
      </c>
      <c r="K47">
        <v>0</v>
      </c>
      <c r="Q47">
        <v>0</v>
      </c>
      <c r="R47">
        <v>0</v>
      </c>
      <c r="S47" t="b">
        <v>0</v>
      </c>
    </row>
    <row r="48" spans="1:19" x14ac:dyDescent="0.25">
      <c r="A48">
        <v>0</v>
      </c>
      <c r="B48" t="s">
        <v>22</v>
      </c>
      <c r="C48">
        <v>36323788</v>
      </c>
      <c r="D48" t="s">
        <v>44</v>
      </c>
      <c r="E48" t="b">
        <v>1</v>
      </c>
      <c r="F48" t="b">
        <v>0</v>
      </c>
      <c r="H48" t="b">
        <v>0</v>
      </c>
      <c r="I48" t="b">
        <v>0</v>
      </c>
      <c r="K48">
        <v>0</v>
      </c>
      <c r="Q48">
        <v>0</v>
      </c>
      <c r="R48">
        <v>0</v>
      </c>
      <c r="S48" t="b">
        <v>0</v>
      </c>
    </row>
    <row r="49" spans="1:19" x14ac:dyDescent="0.25">
      <c r="A49">
        <v>0</v>
      </c>
      <c r="B49" t="s">
        <v>22</v>
      </c>
      <c r="C49">
        <v>36323788</v>
      </c>
      <c r="D49" t="s">
        <v>45</v>
      </c>
      <c r="E49" t="b">
        <v>1</v>
      </c>
      <c r="F49" t="b">
        <v>0</v>
      </c>
      <c r="H49" t="b">
        <v>0</v>
      </c>
      <c r="I49" t="b">
        <v>0</v>
      </c>
      <c r="K49">
        <v>0</v>
      </c>
      <c r="Q49">
        <v>0</v>
      </c>
      <c r="R49">
        <v>0</v>
      </c>
      <c r="S49" t="b">
        <v>0</v>
      </c>
    </row>
    <row r="50" spans="1:19" x14ac:dyDescent="0.25">
      <c r="A50">
        <v>0</v>
      </c>
      <c r="B50" t="s">
        <v>22</v>
      </c>
      <c r="C50">
        <v>36323788</v>
      </c>
      <c r="D50" t="s">
        <v>46</v>
      </c>
      <c r="E50" t="b">
        <v>1</v>
      </c>
      <c r="F50" t="b">
        <v>0</v>
      </c>
      <c r="H50" t="b">
        <v>0</v>
      </c>
      <c r="I50" t="b">
        <v>0</v>
      </c>
      <c r="K50">
        <v>0</v>
      </c>
      <c r="Q50">
        <v>0</v>
      </c>
      <c r="R50">
        <v>0</v>
      </c>
      <c r="S50" t="b">
        <v>0</v>
      </c>
    </row>
    <row r="51" spans="1:19" x14ac:dyDescent="0.25">
      <c r="A51">
        <v>0</v>
      </c>
      <c r="B51" t="s">
        <v>22</v>
      </c>
      <c r="C51">
        <v>36323788</v>
      </c>
      <c r="D51" t="s">
        <v>47</v>
      </c>
      <c r="E51" t="b">
        <v>1</v>
      </c>
      <c r="F51" t="b">
        <v>0</v>
      </c>
      <c r="H51" t="b">
        <v>0</v>
      </c>
      <c r="I51" t="b">
        <v>0</v>
      </c>
      <c r="K51">
        <v>0</v>
      </c>
      <c r="Q51">
        <v>0</v>
      </c>
      <c r="R51">
        <v>0</v>
      </c>
      <c r="S51" t="b">
        <v>0</v>
      </c>
    </row>
    <row r="52" spans="1:19" x14ac:dyDescent="0.25">
      <c r="A52">
        <v>0</v>
      </c>
      <c r="B52" t="s">
        <v>22</v>
      </c>
      <c r="C52">
        <v>36323788</v>
      </c>
      <c r="D52" t="s">
        <v>48</v>
      </c>
      <c r="E52" t="b">
        <v>1</v>
      </c>
      <c r="F52" t="b">
        <v>0</v>
      </c>
      <c r="H52" t="b">
        <v>0</v>
      </c>
      <c r="I52" t="b">
        <v>0</v>
      </c>
      <c r="K52">
        <v>0</v>
      </c>
      <c r="Q52">
        <v>0</v>
      </c>
      <c r="R52">
        <v>0</v>
      </c>
      <c r="S52" t="b">
        <v>0</v>
      </c>
    </row>
    <row r="53" spans="1:19" x14ac:dyDescent="0.25">
      <c r="A53">
        <v>0</v>
      </c>
      <c r="B53" t="s">
        <v>22</v>
      </c>
      <c r="C53">
        <v>36323788</v>
      </c>
      <c r="D53" t="s">
        <v>49</v>
      </c>
      <c r="E53" t="b">
        <v>1</v>
      </c>
      <c r="F53" t="b">
        <v>0</v>
      </c>
      <c r="H53" t="b">
        <v>0</v>
      </c>
      <c r="I53" t="b">
        <v>0</v>
      </c>
      <c r="K53">
        <v>0</v>
      </c>
      <c r="Q53">
        <v>0</v>
      </c>
      <c r="R53">
        <v>0</v>
      </c>
      <c r="S53" t="b">
        <v>0</v>
      </c>
    </row>
    <row r="54" spans="1:19" x14ac:dyDescent="0.25">
      <c r="A54">
        <v>0</v>
      </c>
      <c r="B54" t="s">
        <v>23</v>
      </c>
      <c r="C54">
        <v>36590292</v>
      </c>
      <c r="D54" t="s">
        <v>50</v>
      </c>
      <c r="E54" t="b">
        <v>1</v>
      </c>
      <c r="F54" t="b">
        <v>0</v>
      </c>
      <c r="H54" t="b">
        <v>0</v>
      </c>
      <c r="I54" t="b">
        <v>0</v>
      </c>
      <c r="K54">
        <v>0</v>
      </c>
      <c r="Q54">
        <v>0</v>
      </c>
      <c r="R54">
        <v>0</v>
      </c>
      <c r="S54" t="b">
        <v>0</v>
      </c>
    </row>
    <row r="55" spans="1:19" x14ac:dyDescent="0.25">
      <c r="A55">
        <v>0</v>
      </c>
      <c r="B55" t="s">
        <v>23</v>
      </c>
      <c r="C55">
        <v>36590292</v>
      </c>
      <c r="D55" t="s">
        <v>51</v>
      </c>
      <c r="E55" t="b">
        <v>1</v>
      </c>
      <c r="F55" t="b">
        <v>0</v>
      </c>
      <c r="H55" t="b">
        <v>0</v>
      </c>
      <c r="I55" t="b">
        <v>0</v>
      </c>
      <c r="K55">
        <v>0</v>
      </c>
      <c r="Q55">
        <v>0</v>
      </c>
      <c r="R55">
        <v>0</v>
      </c>
      <c r="S55" t="b">
        <v>0</v>
      </c>
    </row>
    <row r="56" spans="1:19" x14ac:dyDescent="0.25">
      <c r="A56">
        <v>0</v>
      </c>
      <c r="B56" t="s">
        <v>23</v>
      </c>
      <c r="C56">
        <v>36590292</v>
      </c>
      <c r="D56" t="s">
        <v>52</v>
      </c>
      <c r="E56" t="b">
        <v>1</v>
      </c>
      <c r="F56" t="b">
        <v>0</v>
      </c>
      <c r="H56" t="b">
        <v>0</v>
      </c>
      <c r="I56" t="b">
        <v>0</v>
      </c>
      <c r="K56">
        <v>0</v>
      </c>
      <c r="Q56">
        <v>0</v>
      </c>
      <c r="R56">
        <v>0</v>
      </c>
      <c r="S56" t="b">
        <v>0</v>
      </c>
    </row>
    <row r="57" spans="1:19" x14ac:dyDescent="0.25">
      <c r="A57">
        <v>0</v>
      </c>
      <c r="B57" t="s">
        <v>24</v>
      </c>
      <c r="C57">
        <v>36862688</v>
      </c>
      <c r="D57" t="s">
        <v>53</v>
      </c>
      <c r="E57" t="b">
        <v>1</v>
      </c>
      <c r="F57" t="b">
        <v>0</v>
      </c>
      <c r="H57" t="b">
        <v>0</v>
      </c>
      <c r="I57" t="b">
        <v>0</v>
      </c>
      <c r="K57">
        <v>0</v>
      </c>
      <c r="Q57">
        <v>0</v>
      </c>
      <c r="R57">
        <v>0</v>
      </c>
      <c r="S57" t="b">
        <v>0</v>
      </c>
    </row>
    <row r="58" spans="1:19" x14ac:dyDescent="0.25">
      <c r="A58">
        <v>0</v>
      </c>
      <c r="B58" t="s">
        <v>24</v>
      </c>
      <c r="C58">
        <v>36862688</v>
      </c>
      <c r="D58" t="s">
        <v>54</v>
      </c>
      <c r="E58" t="b">
        <v>1</v>
      </c>
      <c r="F58" t="b">
        <v>0</v>
      </c>
      <c r="H58" t="b">
        <v>0</v>
      </c>
      <c r="I58" t="b">
        <v>0</v>
      </c>
      <c r="K58">
        <v>0</v>
      </c>
      <c r="Q58">
        <v>0</v>
      </c>
      <c r="R58">
        <v>0</v>
      </c>
      <c r="S58" t="b">
        <v>0</v>
      </c>
    </row>
    <row r="59" spans="1:19" x14ac:dyDescent="0.25">
      <c r="A59">
        <v>0</v>
      </c>
      <c r="B59" t="s">
        <v>24</v>
      </c>
      <c r="C59">
        <v>36862688</v>
      </c>
      <c r="D59" t="s">
        <v>55</v>
      </c>
      <c r="E59" t="b">
        <v>1</v>
      </c>
      <c r="F59" t="b">
        <v>0</v>
      </c>
      <c r="H59" t="b">
        <v>0</v>
      </c>
      <c r="I59" t="b">
        <v>0</v>
      </c>
      <c r="K59">
        <v>0</v>
      </c>
      <c r="Q59">
        <v>0</v>
      </c>
      <c r="R59">
        <v>0</v>
      </c>
      <c r="S59" t="b">
        <v>0</v>
      </c>
    </row>
    <row r="60" spans="1:19" x14ac:dyDescent="0.25">
      <c r="A60">
        <v>0</v>
      </c>
      <c r="B60" t="s">
        <v>24</v>
      </c>
      <c r="C60">
        <v>36862688</v>
      </c>
      <c r="D60" t="s">
        <v>56</v>
      </c>
      <c r="E60" t="b">
        <v>1</v>
      </c>
      <c r="F60" t="b">
        <v>0</v>
      </c>
      <c r="H60" t="b">
        <v>0</v>
      </c>
      <c r="I60" t="b">
        <v>0</v>
      </c>
      <c r="K60">
        <v>0</v>
      </c>
      <c r="Q60">
        <v>0</v>
      </c>
      <c r="R60">
        <v>0</v>
      </c>
      <c r="S60" t="b">
        <v>0</v>
      </c>
    </row>
    <row r="61" spans="1:19" x14ac:dyDescent="0.25">
      <c r="A61">
        <v>0</v>
      </c>
      <c r="B61" t="s">
        <v>24</v>
      </c>
      <c r="C61">
        <v>36862688</v>
      </c>
      <c r="D61" t="s">
        <v>57</v>
      </c>
      <c r="E61" t="b">
        <v>1</v>
      </c>
      <c r="F61" t="b">
        <v>0</v>
      </c>
      <c r="H61" t="b">
        <v>0</v>
      </c>
      <c r="I61" t="b">
        <v>0</v>
      </c>
      <c r="K61">
        <v>0</v>
      </c>
      <c r="Q61">
        <v>0</v>
      </c>
      <c r="R61">
        <v>0</v>
      </c>
      <c r="S61" t="b">
        <v>0</v>
      </c>
    </row>
    <row r="62" spans="1:19" x14ac:dyDescent="0.25">
      <c r="A62">
        <v>0</v>
      </c>
      <c r="B62" t="s">
        <v>24</v>
      </c>
      <c r="C62">
        <v>36862688</v>
      </c>
      <c r="D62" t="s">
        <v>58</v>
      </c>
      <c r="E62" t="b">
        <v>1</v>
      </c>
      <c r="F62" t="b">
        <v>0</v>
      </c>
      <c r="H62" t="b">
        <v>0</v>
      </c>
      <c r="I62" t="b">
        <v>0</v>
      </c>
      <c r="K62">
        <v>0</v>
      </c>
      <c r="Q62">
        <v>0</v>
      </c>
      <c r="R62">
        <v>0</v>
      </c>
      <c r="S62" t="b">
        <v>0</v>
      </c>
    </row>
    <row r="63" spans="1:19" x14ac:dyDescent="0.25">
      <c r="A63">
        <v>0</v>
      </c>
      <c r="B63" t="s">
        <v>24</v>
      </c>
      <c r="C63">
        <v>36862688</v>
      </c>
      <c r="D63" t="s">
        <v>59</v>
      </c>
      <c r="E63" t="b">
        <v>1</v>
      </c>
      <c r="F63" t="b">
        <v>0</v>
      </c>
      <c r="H63" t="b">
        <v>0</v>
      </c>
      <c r="I63" t="b">
        <v>0</v>
      </c>
      <c r="K63">
        <v>0</v>
      </c>
      <c r="Q63">
        <v>0</v>
      </c>
      <c r="R63">
        <v>0</v>
      </c>
      <c r="S63" t="b">
        <v>0</v>
      </c>
    </row>
    <row r="64" spans="1:19" x14ac:dyDescent="0.25">
      <c r="A64">
        <v>0</v>
      </c>
      <c r="B64" t="s">
        <v>24</v>
      </c>
      <c r="C64">
        <v>36862688</v>
      </c>
      <c r="D64" t="s">
        <v>60</v>
      </c>
      <c r="E64" t="b">
        <v>1</v>
      </c>
      <c r="F64" t="b">
        <v>0</v>
      </c>
      <c r="H64" t="b">
        <v>0</v>
      </c>
      <c r="I64" t="b">
        <v>0</v>
      </c>
      <c r="K64">
        <v>0</v>
      </c>
      <c r="Q64">
        <v>0</v>
      </c>
      <c r="R64">
        <v>0</v>
      </c>
      <c r="S64" t="b">
        <v>0</v>
      </c>
    </row>
    <row r="65" spans="1:19" x14ac:dyDescent="0.25">
      <c r="A65">
        <v>0</v>
      </c>
      <c r="B65" t="s">
        <v>24</v>
      </c>
      <c r="C65">
        <v>36862688</v>
      </c>
      <c r="D65" t="s">
        <v>61</v>
      </c>
      <c r="E65" t="b">
        <v>1</v>
      </c>
      <c r="F65" t="b">
        <v>0</v>
      </c>
      <c r="H65" t="b">
        <v>0</v>
      </c>
      <c r="I65" t="b">
        <v>0</v>
      </c>
      <c r="K65">
        <v>0</v>
      </c>
      <c r="Q65">
        <v>0</v>
      </c>
      <c r="R65">
        <v>0</v>
      </c>
      <c r="S65" t="b">
        <v>0</v>
      </c>
    </row>
    <row r="66" spans="1:19" x14ac:dyDescent="0.25">
      <c r="A66">
        <v>0</v>
      </c>
      <c r="B66" t="s">
        <v>24</v>
      </c>
      <c r="C66">
        <v>36862688</v>
      </c>
      <c r="D66" t="s">
        <v>62</v>
      </c>
      <c r="E66" t="b">
        <v>1</v>
      </c>
      <c r="F66" t="b">
        <v>0</v>
      </c>
      <c r="H66" t="b">
        <v>0</v>
      </c>
      <c r="I66" t="b">
        <v>0</v>
      </c>
      <c r="K66">
        <v>0</v>
      </c>
      <c r="Q66">
        <v>0</v>
      </c>
      <c r="R66">
        <v>0</v>
      </c>
      <c r="S66" t="b">
        <v>0</v>
      </c>
    </row>
    <row r="67" spans="1:19" x14ac:dyDescent="0.25">
      <c r="A67">
        <v>0</v>
      </c>
      <c r="B67" t="s">
        <v>24</v>
      </c>
      <c r="C67">
        <v>36862688</v>
      </c>
      <c r="D67" t="s">
        <v>63</v>
      </c>
      <c r="E67" t="b">
        <v>1</v>
      </c>
      <c r="F67" t="b">
        <v>0</v>
      </c>
      <c r="H67" t="b">
        <v>0</v>
      </c>
      <c r="I67" t="b">
        <v>0</v>
      </c>
      <c r="K67">
        <v>0</v>
      </c>
      <c r="Q67">
        <v>0</v>
      </c>
      <c r="R67">
        <v>0</v>
      </c>
      <c r="S67" t="b">
        <v>0</v>
      </c>
    </row>
    <row r="68" spans="1:19" x14ac:dyDescent="0.25">
      <c r="A68">
        <v>0</v>
      </c>
      <c r="B68" t="s">
        <v>24</v>
      </c>
      <c r="C68">
        <v>36862688</v>
      </c>
      <c r="D68" t="s">
        <v>64</v>
      </c>
      <c r="E68" t="b">
        <v>1</v>
      </c>
      <c r="F68" t="b">
        <v>0</v>
      </c>
      <c r="H68" t="b">
        <v>0</v>
      </c>
      <c r="I68" t="b">
        <v>0</v>
      </c>
      <c r="K68">
        <v>0</v>
      </c>
      <c r="Q68">
        <v>0</v>
      </c>
      <c r="R68">
        <v>0</v>
      </c>
      <c r="S68" t="b">
        <v>0</v>
      </c>
    </row>
    <row r="69" spans="1:19" x14ac:dyDescent="0.25">
      <c r="A69">
        <v>0</v>
      </c>
      <c r="B69" t="s">
        <v>24</v>
      </c>
      <c r="C69">
        <v>36862688</v>
      </c>
      <c r="D69" t="s">
        <v>65</v>
      </c>
      <c r="E69" t="b">
        <v>1</v>
      </c>
      <c r="F69" t="b">
        <v>0</v>
      </c>
      <c r="H69" t="b">
        <v>0</v>
      </c>
      <c r="I69" t="b">
        <v>0</v>
      </c>
      <c r="K69">
        <v>0</v>
      </c>
      <c r="Q69">
        <v>0</v>
      </c>
      <c r="R69">
        <v>0</v>
      </c>
      <c r="S69" t="b">
        <v>0</v>
      </c>
    </row>
    <row r="70" spans="1:19" x14ac:dyDescent="0.25">
      <c r="A70">
        <v>0</v>
      </c>
      <c r="B70" t="s">
        <v>24</v>
      </c>
      <c r="C70">
        <v>36862688</v>
      </c>
      <c r="D70" t="s">
        <v>66</v>
      </c>
      <c r="E70" t="b">
        <v>1</v>
      </c>
      <c r="F70" t="b">
        <v>0</v>
      </c>
      <c r="H70" t="b">
        <v>0</v>
      </c>
      <c r="I70" t="b">
        <v>0</v>
      </c>
      <c r="K70">
        <v>0</v>
      </c>
      <c r="Q70">
        <v>0</v>
      </c>
      <c r="R70">
        <v>0</v>
      </c>
      <c r="S70" t="b">
        <v>0</v>
      </c>
    </row>
    <row r="71" spans="1:19" x14ac:dyDescent="0.25">
      <c r="A71">
        <v>0</v>
      </c>
      <c r="B71" t="s">
        <v>25</v>
      </c>
      <c r="C71">
        <v>37041460</v>
      </c>
      <c r="D71" t="s">
        <v>67</v>
      </c>
      <c r="E71" t="b">
        <v>1</v>
      </c>
      <c r="F71" t="b">
        <v>0</v>
      </c>
      <c r="H71" t="b">
        <v>0</v>
      </c>
      <c r="I71" t="b">
        <v>0</v>
      </c>
      <c r="K71">
        <v>0</v>
      </c>
      <c r="Q71">
        <v>0</v>
      </c>
      <c r="R71">
        <v>0</v>
      </c>
      <c r="S71" t="b">
        <v>0</v>
      </c>
    </row>
    <row r="72" spans="1:19" x14ac:dyDescent="0.25">
      <c r="A72">
        <v>0</v>
      </c>
      <c r="B72" t="s">
        <v>25</v>
      </c>
      <c r="C72">
        <v>37041460</v>
      </c>
      <c r="D72" t="s">
        <v>68</v>
      </c>
      <c r="E72" t="b">
        <v>1</v>
      </c>
      <c r="F72" t="b">
        <v>0</v>
      </c>
      <c r="H72" t="b">
        <v>0</v>
      </c>
      <c r="I72" t="b">
        <v>0</v>
      </c>
      <c r="K72">
        <v>0</v>
      </c>
      <c r="Q72">
        <v>0</v>
      </c>
      <c r="R72">
        <v>0</v>
      </c>
      <c r="S72" t="b">
        <v>0</v>
      </c>
    </row>
    <row r="73" spans="1:19" x14ac:dyDescent="0.25">
      <c r="A73">
        <v>0</v>
      </c>
      <c r="B73" t="s">
        <v>25</v>
      </c>
      <c r="C73">
        <v>37041460</v>
      </c>
      <c r="D73" t="s">
        <v>69</v>
      </c>
      <c r="E73" t="b">
        <v>1</v>
      </c>
      <c r="F73" t="b">
        <v>0</v>
      </c>
      <c r="H73" t="b">
        <v>0</v>
      </c>
      <c r="I73" t="b">
        <v>0</v>
      </c>
      <c r="K73">
        <v>0</v>
      </c>
      <c r="Q73">
        <v>0</v>
      </c>
      <c r="R73">
        <v>0</v>
      </c>
      <c r="S73" t="b">
        <v>0</v>
      </c>
    </row>
    <row r="74" spans="1:19" x14ac:dyDescent="0.25">
      <c r="A74">
        <v>0</v>
      </c>
      <c r="B74" t="s">
        <v>25</v>
      </c>
      <c r="C74">
        <v>37041460</v>
      </c>
      <c r="D74" t="s">
        <v>70</v>
      </c>
      <c r="E74" t="b">
        <v>1</v>
      </c>
      <c r="F74" t="b">
        <v>0</v>
      </c>
      <c r="H74" t="b">
        <v>0</v>
      </c>
      <c r="I74" t="b">
        <v>0</v>
      </c>
      <c r="K74">
        <v>0</v>
      </c>
      <c r="Q74">
        <v>0</v>
      </c>
      <c r="R74">
        <v>0</v>
      </c>
      <c r="S74" t="b">
        <v>0</v>
      </c>
    </row>
    <row r="75" spans="1:19" x14ac:dyDescent="0.25">
      <c r="A75">
        <v>0</v>
      </c>
      <c r="B75" t="s">
        <v>25</v>
      </c>
      <c r="C75">
        <v>37041460</v>
      </c>
      <c r="D75" t="s">
        <v>71</v>
      </c>
      <c r="E75" t="b">
        <v>1</v>
      </c>
      <c r="F75" t="b">
        <v>0</v>
      </c>
      <c r="H75" t="b">
        <v>0</v>
      </c>
      <c r="I75" t="b">
        <v>0</v>
      </c>
      <c r="K75">
        <v>0</v>
      </c>
      <c r="Q75">
        <v>0</v>
      </c>
      <c r="R75">
        <v>0</v>
      </c>
      <c r="S75" t="b">
        <v>0</v>
      </c>
    </row>
    <row r="76" spans="1:19" x14ac:dyDescent="0.25">
      <c r="A76">
        <v>0</v>
      </c>
      <c r="B76" t="s">
        <v>25</v>
      </c>
      <c r="C76">
        <v>37041460</v>
      </c>
      <c r="D76" t="s">
        <v>72</v>
      </c>
      <c r="E76" t="b">
        <v>1</v>
      </c>
      <c r="F76" t="b">
        <v>0</v>
      </c>
      <c r="H76" t="b">
        <v>0</v>
      </c>
      <c r="I76" t="b">
        <v>0</v>
      </c>
      <c r="K76">
        <v>0</v>
      </c>
      <c r="Q76">
        <v>0</v>
      </c>
      <c r="R76">
        <v>0</v>
      </c>
      <c r="S76" t="b">
        <v>0</v>
      </c>
    </row>
    <row r="77" spans="1:19" x14ac:dyDescent="0.25">
      <c r="A77">
        <v>0</v>
      </c>
      <c r="B77" t="s">
        <v>26</v>
      </c>
      <c r="C77">
        <v>37704762</v>
      </c>
      <c r="D77" t="s">
        <v>73</v>
      </c>
      <c r="E77" t="b">
        <v>1</v>
      </c>
      <c r="F77" t="b">
        <v>0</v>
      </c>
      <c r="H77" t="b">
        <v>0</v>
      </c>
      <c r="I77" t="b">
        <v>0</v>
      </c>
      <c r="K77">
        <v>0</v>
      </c>
      <c r="Q77">
        <v>0</v>
      </c>
      <c r="R77">
        <v>0</v>
      </c>
      <c r="S77" t="b">
        <v>0</v>
      </c>
    </row>
    <row r="78" spans="1:19" x14ac:dyDescent="0.25">
      <c r="A78">
        <v>0</v>
      </c>
      <c r="B78" t="s">
        <v>26</v>
      </c>
      <c r="C78">
        <v>37704762</v>
      </c>
      <c r="D78" t="s">
        <v>74</v>
      </c>
      <c r="E78" t="b">
        <v>1</v>
      </c>
      <c r="F78" t="b">
        <v>0</v>
      </c>
      <c r="H78" t="b">
        <v>0</v>
      </c>
      <c r="I78" t="b">
        <v>0</v>
      </c>
      <c r="K78">
        <v>0</v>
      </c>
      <c r="Q78">
        <v>0</v>
      </c>
      <c r="R78">
        <v>0</v>
      </c>
      <c r="S78" t="b">
        <v>0</v>
      </c>
    </row>
    <row r="79" spans="1:19" x14ac:dyDescent="0.25">
      <c r="A79">
        <v>0</v>
      </c>
      <c r="B79" t="s">
        <v>26</v>
      </c>
      <c r="C79">
        <v>37704762</v>
      </c>
      <c r="D79" t="s">
        <v>75</v>
      </c>
      <c r="E79" t="b">
        <v>1</v>
      </c>
      <c r="F79" t="b">
        <v>0</v>
      </c>
      <c r="H79" t="b">
        <v>0</v>
      </c>
      <c r="I79" t="b">
        <v>0</v>
      </c>
      <c r="K79">
        <v>0</v>
      </c>
      <c r="Q79">
        <v>0</v>
      </c>
      <c r="R79">
        <v>0</v>
      </c>
      <c r="S79" t="b">
        <v>0</v>
      </c>
    </row>
    <row r="80" spans="1:19" x14ac:dyDescent="0.25">
      <c r="A80">
        <v>0</v>
      </c>
      <c r="B80" t="s">
        <v>26</v>
      </c>
      <c r="C80">
        <v>37704762</v>
      </c>
      <c r="D80" t="s">
        <v>76</v>
      </c>
      <c r="E80" t="b">
        <v>1</v>
      </c>
      <c r="F80" t="b">
        <v>0</v>
      </c>
      <c r="H80" t="b">
        <v>0</v>
      </c>
      <c r="I80" t="b">
        <v>0</v>
      </c>
      <c r="K80">
        <v>0</v>
      </c>
      <c r="Q80">
        <v>0</v>
      </c>
      <c r="R80">
        <v>0</v>
      </c>
      <c r="S80" t="b">
        <v>0</v>
      </c>
    </row>
    <row r="81" spans="1:24" x14ac:dyDescent="0.25">
      <c r="A81">
        <v>0</v>
      </c>
      <c r="B81" t="s">
        <v>26</v>
      </c>
      <c r="C81">
        <v>37704762</v>
      </c>
      <c r="D81" t="s">
        <v>77</v>
      </c>
      <c r="E81" t="b">
        <v>1</v>
      </c>
      <c r="F81" t="b">
        <v>0</v>
      </c>
      <c r="H81" t="b">
        <v>0</v>
      </c>
      <c r="I81" t="b">
        <v>0</v>
      </c>
      <c r="K81">
        <v>0</v>
      </c>
      <c r="Q81">
        <v>0</v>
      </c>
      <c r="R81">
        <v>0</v>
      </c>
      <c r="S81" t="b">
        <v>0</v>
      </c>
    </row>
    <row r="82" spans="1:24" x14ac:dyDescent="0.25">
      <c r="A82">
        <v>0</v>
      </c>
      <c r="B82" t="s">
        <v>26</v>
      </c>
      <c r="C82">
        <v>37704762</v>
      </c>
      <c r="D82" t="s">
        <v>78</v>
      </c>
      <c r="E82" t="b">
        <v>1</v>
      </c>
      <c r="F82" t="b">
        <v>0</v>
      </c>
      <c r="H82" t="b">
        <v>0</v>
      </c>
      <c r="I82" t="b">
        <v>0</v>
      </c>
      <c r="K82">
        <v>0</v>
      </c>
      <c r="Q82">
        <v>0</v>
      </c>
      <c r="R82">
        <v>0</v>
      </c>
      <c r="S82" t="b">
        <v>0</v>
      </c>
      <c r="U82">
        <f>(T84+U84)/U83</f>
        <v>0.93905817174515238</v>
      </c>
    </row>
    <row r="83" spans="1:24" x14ac:dyDescent="0.25">
      <c r="A83">
        <v>0</v>
      </c>
      <c r="B83" t="s">
        <v>26</v>
      </c>
      <c r="C83">
        <v>37704762</v>
      </c>
      <c r="D83" t="s">
        <v>79</v>
      </c>
      <c r="E83" t="b">
        <v>1</v>
      </c>
      <c r="F83" t="b">
        <v>0</v>
      </c>
      <c r="H83" t="b">
        <v>0</v>
      </c>
      <c r="I83" t="b">
        <v>0</v>
      </c>
      <c r="K83">
        <v>0</v>
      </c>
      <c r="Q83">
        <v>0</v>
      </c>
      <c r="R83">
        <v>0</v>
      </c>
      <c r="S83" t="b">
        <v>0</v>
      </c>
      <c r="U83">
        <f>SUM(T84:W84)</f>
        <v>361</v>
      </c>
    </row>
    <row r="84" spans="1:24" x14ac:dyDescent="0.25">
      <c r="A84">
        <v>0</v>
      </c>
      <c r="B84" t="s">
        <v>26</v>
      </c>
      <c r="C84">
        <v>37704762</v>
      </c>
      <c r="D84" t="s">
        <v>80</v>
      </c>
      <c r="E84" t="b">
        <v>1</v>
      </c>
      <c r="F84" t="b">
        <v>0</v>
      </c>
      <c r="H84" t="b">
        <v>0</v>
      </c>
      <c r="I84" t="b">
        <v>0</v>
      </c>
      <c r="K84">
        <v>0</v>
      </c>
      <c r="Q84">
        <v>0</v>
      </c>
      <c r="R84">
        <v>0</v>
      </c>
      <c r="S84" t="b">
        <v>0</v>
      </c>
      <c r="T84">
        <f>COUNTIF(T85:T445,TRUE)</f>
        <v>45</v>
      </c>
      <c r="U84">
        <f>COUNTIF(U85:U445,TRUE)</f>
        <v>294</v>
      </c>
      <c r="V84">
        <f>COUNTIF(V85:V445,TRUE)</f>
        <v>14</v>
      </c>
      <c r="W84">
        <f>COUNTIF(W85:W445,TRUE)</f>
        <v>8</v>
      </c>
    </row>
    <row r="85" spans="1:24" x14ac:dyDescent="0.25">
      <c r="A85">
        <v>1</v>
      </c>
      <c r="B85" t="s">
        <v>19</v>
      </c>
      <c r="C85">
        <v>26186191</v>
      </c>
      <c r="D85" t="s">
        <v>465</v>
      </c>
      <c r="E85" t="b">
        <v>1</v>
      </c>
      <c r="F85" t="b">
        <v>1</v>
      </c>
      <c r="G85" t="s">
        <v>515</v>
      </c>
      <c r="H85" t="b">
        <v>0</v>
      </c>
      <c r="I85" t="b">
        <v>0</v>
      </c>
      <c r="J85" t="s">
        <v>1082</v>
      </c>
      <c r="K85">
        <v>0</v>
      </c>
      <c r="L85" t="s">
        <v>581</v>
      </c>
      <c r="M85" t="s">
        <v>643</v>
      </c>
      <c r="O85" t="s">
        <v>1045</v>
      </c>
      <c r="Q85">
        <v>0</v>
      </c>
      <c r="R85">
        <v>0</v>
      </c>
      <c r="S85" t="b">
        <v>0</v>
      </c>
      <c r="T85" t="b">
        <f>AND(S85,NOT(E85))</f>
        <v>0</v>
      </c>
      <c r="U85" t="b">
        <f>AND(E85,NOT(S85))</f>
        <v>1</v>
      </c>
      <c r="V85" t="b">
        <f>AND(S85,E85)</f>
        <v>0</v>
      </c>
      <c r="W85" t="b">
        <f>AND(NOT(S85),NOT(E85))</f>
        <v>0</v>
      </c>
      <c r="X85" t="s">
        <v>1036</v>
      </c>
    </row>
    <row r="86" spans="1:24" x14ac:dyDescent="0.25">
      <c r="A86">
        <v>1</v>
      </c>
      <c r="B86" t="s">
        <v>19</v>
      </c>
      <c r="C86">
        <v>26186191</v>
      </c>
      <c r="D86" t="s">
        <v>269</v>
      </c>
      <c r="E86" t="b">
        <v>1</v>
      </c>
      <c r="F86" t="b">
        <v>1</v>
      </c>
      <c r="G86" t="s">
        <v>479</v>
      </c>
      <c r="H86" t="b">
        <v>0</v>
      </c>
      <c r="I86" t="b">
        <v>0</v>
      </c>
      <c r="J86" t="s">
        <v>1083</v>
      </c>
      <c r="K86">
        <v>0</v>
      </c>
      <c r="Q86">
        <v>0</v>
      </c>
      <c r="R86">
        <v>0</v>
      </c>
      <c r="S86" t="b">
        <v>0</v>
      </c>
      <c r="T86" t="b">
        <f t="shared" ref="T86:T149" si="0">AND(S86,NOT(E86))</f>
        <v>0</v>
      </c>
      <c r="U86" t="b">
        <f t="shared" ref="U86:U149" si="1">AND(E86,NOT(S86))</f>
        <v>1</v>
      </c>
      <c r="V86" t="b">
        <f t="shared" ref="V86:V149" si="2">AND(S86,E86)</f>
        <v>0</v>
      </c>
      <c r="W86" t="b">
        <f t="shared" ref="W86:W149" si="3">AND(NOT(S86),NOT(E86))</f>
        <v>0</v>
      </c>
      <c r="X86" t="s">
        <v>724</v>
      </c>
    </row>
    <row r="87" spans="1:24" x14ac:dyDescent="0.25">
      <c r="A87">
        <v>1</v>
      </c>
      <c r="B87" t="s">
        <v>19</v>
      </c>
      <c r="C87">
        <v>26186191</v>
      </c>
      <c r="D87" t="s">
        <v>464</v>
      </c>
      <c r="E87" t="b">
        <v>1</v>
      </c>
      <c r="F87" t="b">
        <v>1</v>
      </c>
      <c r="G87" t="s">
        <v>515</v>
      </c>
      <c r="H87" t="b">
        <v>0</v>
      </c>
      <c r="I87" t="b">
        <v>0</v>
      </c>
      <c r="J87" t="s">
        <v>1082</v>
      </c>
      <c r="K87">
        <v>0</v>
      </c>
      <c r="L87" t="s">
        <v>581</v>
      </c>
      <c r="M87" t="s">
        <v>643</v>
      </c>
      <c r="O87" t="s">
        <v>1045</v>
      </c>
      <c r="Q87">
        <v>0</v>
      </c>
      <c r="R87">
        <v>0</v>
      </c>
      <c r="S87" t="b">
        <v>0</v>
      </c>
      <c r="T87" t="b">
        <f t="shared" si="0"/>
        <v>0</v>
      </c>
      <c r="U87" t="b">
        <f t="shared" si="1"/>
        <v>1</v>
      </c>
      <c r="V87" t="b">
        <f t="shared" si="2"/>
        <v>0</v>
      </c>
      <c r="W87" t="b">
        <f t="shared" si="3"/>
        <v>0</v>
      </c>
      <c r="X87" t="s">
        <v>1035</v>
      </c>
    </row>
    <row r="88" spans="1:24" x14ac:dyDescent="0.25">
      <c r="A88">
        <v>1</v>
      </c>
      <c r="B88" t="s">
        <v>19</v>
      </c>
      <c r="C88">
        <v>26186191</v>
      </c>
      <c r="D88" t="s">
        <v>139</v>
      </c>
      <c r="E88" t="b">
        <v>1</v>
      </c>
      <c r="F88" t="b">
        <v>1</v>
      </c>
      <c r="G88" t="s">
        <v>479</v>
      </c>
      <c r="H88" t="b">
        <v>0</v>
      </c>
      <c r="I88" t="b">
        <v>0</v>
      </c>
      <c r="J88" t="s">
        <v>1083</v>
      </c>
      <c r="K88">
        <v>0</v>
      </c>
      <c r="Q88">
        <v>0</v>
      </c>
      <c r="R88">
        <v>0</v>
      </c>
      <c r="S88" t="b">
        <v>0</v>
      </c>
      <c r="T88" t="b">
        <f t="shared" si="0"/>
        <v>0</v>
      </c>
      <c r="U88" t="b">
        <f t="shared" si="1"/>
        <v>1</v>
      </c>
      <c r="V88" t="b">
        <f t="shared" si="2"/>
        <v>0</v>
      </c>
      <c r="W88" t="b">
        <f t="shared" si="3"/>
        <v>0</v>
      </c>
      <c r="X88" t="s">
        <v>724</v>
      </c>
    </row>
    <row r="89" spans="1:24" x14ac:dyDescent="0.25">
      <c r="A89">
        <v>1</v>
      </c>
      <c r="B89" t="s">
        <v>19</v>
      </c>
      <c r="C89">
        <v>26186191</v>
      </c>
      <c r="D89" t="s">
        <v>466</v>
      </c>
      <c r="E89" t="b">
        <v>1</v>
      </c>
      <c r="F89" t="b">
        <v>1</v>
      </c>
      <c r="G89" t="s">
        <v>515</v>
      </c>
      <c r="H89" t="b">
        <v>0</v>
      </c>
      <c r="I89" t="b">
        <v>0</v>
      </c>
      <c r="J89" t="s">
        <v>1084</v>
      </c>
      <c r="K89">
        <v>0</v>
      </c>
      <c r="L89" t="s">
        <v>581</v>
      </c>
      <c r="M89" t="s">
        <v>643</v>
      </c>
      <c r="Q89">
        <v>0</v>
      </c>
      <c r="R89">
        <v>0</v>
      </c>
      <c r="S89" t="b">
        <v>0</v>
      </c>
      <c r="T89" t="b">
        <f t="shared" si="0"/>
        <v>0</v>
      </c>
      <c r="U89" t="b">
        <f t="shared" si="1"/>
        <v>1</v>
      </c>
      <c r="V89" t="b">
        <f t="shared" si="2"/>
        <v>0</v>
      </c>
      <c r="W89" t="b">
        <f t="shared" si="3"/>
        <v>0</v>
      </c>
      <c r="X89" t="s">
        <v>1037</v>
      </c>
    </row>
    <row r="90" spans="1:24" x14ac:dyDescent="0.25">
      <c r="A90">
        <v>1</v>
      </c>
      <c r="B90" t="s">
        <v>19</v>
      </c>
      <c r="C90">
        <v>26186191</v>
      </c>
      <c r="D90" t="s">
        <v>270</v>
      </c>
      <c r="E90" t="b">
        <v>1</v>
      </c>
      <c r="F90" t="b">
        <v>1</v>
      </c>
      <c r="G90" t="s">
        <v>479</v>
      </c>
      <c r="H90" t="b">
        <v>0</v>
      </c>
      <c r="I90" t="b">
        <v>0</v>
      </c>
      <c r="J90" t="s">
        <v>1084</v>
      </c>
      <c r="K90">
        <v>0</v>
      </c>
      <c r="Q90">
        <v>0</v>
      </c>
      <c r="R90">
        <v>0</v>
      </c>
      <c r="S90" t="b">
        <v>0</v>
      </c>
      <c r="T90" t="b">
        <f t="shared" si="0"/>
        <v>0</v>
      </c>
      <c r="U90" t="b">
        <f t="shared" si="1"/>
        <v>1</v>
      </c>
      <c r="V90" t="b">
        <f t="shared" si="2"/>
        <v>0</v>
      </c>
      <c r="W90" t="b">
        <f t="shared" si="3"/>
        <v>0</v>
      </c>
      <c r="X90" t="s">
        <v>849</v>
      </c>
    </row>
    <row r="91" spans="1:24" x14ac:dyDescent="0.25">
      <c r="A91">
        <v>1</v>
      </c>
      <c r="B91" t="s">
        <v>19</v>
      </c>
      <c r="C91">
        <v>26186191</v>
      </c>
      <c r="D91" t="s">
        <v>468</v>
      </c>
      <c r="E91" t="b">
        <v>1</v>
      </c>
      <c r="F91" t="b">
        <v>1</v>
      </c>
      <c r="G91" t="s">
        <v>551</v>
      </c>
      <c r="H91" t="b">
        <v>0</v>
      </c>
      <c r="I91" t="b">
        <v>0</v>
      </c>
      <c r="J91" t="s">
        <v>1083</v>
      </c>
      <c r="K91" s="3">
        <v>3</v>
      </c>
      <c r="L91" t="s">
        <v>607</v>
      </c>
      <c r="M91" t="s">
        <v>659</v>
      </c>
      <c r="Q91">
        <v>0</v>
      </c>
      <c r="R91">
        <v>0</v>
      </c>
      <c r="S91" t="b">
        <v>0</v>
      </c>
      <c r="T91" t="b">
        <f t="shared" si="0"/>
        <v>0</v>
      </c>
      <c r="U91" t="b">
        <f t="shared" si="1"/>
        <v>1</v>
      </c>
      <c r="V91" t="b">
        <f t="shared" si="2"/>
        <v>0</v>
      </c>
      <c r="W91" t="b">
        <f t="shared" si="3"/>
        <v>0</v>
      </c>
      <c r="X91" t="s">
        <v>1039</v>
      </c>
    </row>
    <row r="92" spans="1:24" x14ac:dyDescent="0.25">
      <c r="A92">
        <v>1</v>
      </c>
      <c r="B92" t="s">
        <v>19</v>
      </c>
      <c r="C92">
        <v>26186191</v>
      </c>
      <c r="D92" t="s">
        <v>467</v>
      </c>
      <c r="E92" t="b">
        <v>1</v>
      </c>
      <c r="F92" t="b">
        <v>1</v>
      </c>
      <c r="G92" t="s">
        <v>551</v>
      </c>
      <c r="H92" t="b">
        <v>0</v>
      </c>
      <c r="I92" t="b">
        <v>0</v>
      </c>
      <c r="J92" t="s">
        <v>1083</v>
      </c>
      <c r="K92" s="3">
        <v>3</v>
      </c>
      <c r="L92" t="s">
        <v>607</v>
      </c>
      <c r="M92" t="s">
        <v>659</v>
      </c>
      <c r="Q92">
        <v>0</v>
      </c>
      <c r="R92">
        <v>0</v>
      </c>
      <c r="S92" t="b">
        <v>0</v>
      </c>
      <c r="T92" t="b">
        <f t="shared" si="0"/>
        <v>0</v>
      </c>
      <c r="U92" t="b">
        <f t="shared" si="1"/>
        <v>1</v>
      </c>
      <c r="V92" t="b">
        <f t="shared" si="2"/>
        <v>0</v>
      </c>
      <c r="W92" t="b">
        <f t="shared" si="3"/>
        <v>0</v>
      </c>
      <c r="X92" t="s">
        <v>1038</v>
      </c>
    </row>
    <row r="93" spans="1:24" x14ac:dyDescent="0.25">
      <c r="A93">
        <v>1</v>
      </c>
      <c r="B93" t="s">
        <v>19</v>
      </c>
      <c r="C93">
        <v>26186191</v>
      </c>
      <c r="D93" t="s">
        <v>274</v>
      </c>
      <c r="E93" t="b">
        <v>1</v>
      </c>
      <c r="F93" t="b">
        <v>1</v>
      </c>
      <c r="G93" t="s">
        <v>515</v>
      </c>
      <c r="H93" t="b">
        <v>0</v>
      </c>
      <c r="I93" t="b">
        <v>0</v>
      </c>
      <c r="J93" t="s">
        <v>1085</v>
      </c>
      <c r="K93">
        <v>0</v>
      </c>
      <c r="L93" t="s">
        <v>581</v>
      </c>
      <c r="M93" t="s">
        <v>643</v>
      </c>
      <c r="O93" t="s">
        <v>1045</v>
      </c>
      <c r="Q93">
        <v>0</v>
      </c>
      <c r="R93">
        <v>0</v>
      </c>
      <c r="S93" t="b">
        <v>0</v>
      </c>
      <c r="T93" t="b">
        <f t="shared" si="0"/>
        <v>0</v>
      </c>
      <c r="U93" t="b">
        <f t="shared" si="1"/>
        <v>1</v>
      </c>
      <c r="V93" t="b">
        <f t="shared" si="2"/>
        <v>0</v>
      </c>
      <c r="W93" t="b">
        <f t="shared" si="3"/>
        <v>0</v>
      </c>
      <c r="X93" t="s">
        <v>853</v>
      </c>
    </row>
    <row r="94" spans="1:24" x14ac:dyDescent="0.25">
      <c r="A94">
        <v>1</v>
      </c>
      <c r="B94" t="s">
        <v>19</v>
      </c>
      <c r="C94">
        <v>26186191</v>
      </c>
      <c r="D94" t="s">
        <v>137</v>
      </c>
      <c r="E94" t="b">
        <v>1</v>
      </c>
      <c r="F94" t="b">
        <v>1</v>
      </c>
      <c r="G94" t="s">
        <v>479</v>
      </c>
      <c r="H94" t="b">
        <v>0</v>
      </c>
      <c r="I94" t="b">
        <v>0</v>
      </c>
      <c r="J94" t="s">
        <v>1083</v>
      </c>
      <c r="K94">
        <v>0</v>
      </c>
      <c r="Q94">
        <v>0</v>
      </c>
      <c r="R94">
        <v>0</v>
      </c>
      <c r="S94" t="b">
        <v>0</v>
      </c>
      <c r="T94" t="b">
        <f t="shared" si="0"/>
        <v>0</v>
      </c>
      <c r="U94" t="b">
        <f t="shared" si="1"/>
        <v>1</v>
      </c>
      <c r="V94" t="b">
        <f t="shared" si="2"/>
        <v>0</v>
      </c>
      <c r="W94" t="b">
        <f t="shared" si="3"/>
        <v>0</v>
      </c>
      <c r="X94" t="s">
        <v>722</v>
      </c>
    </row>
    <row r="95" spans="1:24" x14ac:dyDescent="0.25">
      <c r="A95">
        <v>1</v>
      </c>
      <c r="B95" t="s">
        <v>19</v>
      </c>
      <c r="C95">
        <v>26186191</v>
      </c>
      <c r="D95" t="s">
        <v>273</v>
      </c>
      <c r="E95" t="b">
        <v>1</v>
      </c>
      <c r="F95" t="b">
        <v>1</v>
      </c>
      <c r="G95" t="s">
        <v>515</v>
      </c>
      <c r="H95" t="b">
        <v>0</v>
      </c>
      <c r="I95" t="b">
        <v>0</v>
      </c>
      <c r="J95" t="s">
        <v>1082</v>
      </c>
      <c r="K95">
        <v>0</v>
      </c>
      <c r="L95" t="s">
        <v>581</v>
      </c>
      <c r="M95" t="s">
        <v>643</v>
      </c>
      <c r="O95" t="s">
        <v>1045</v>
      </c>
      <c r="Q95">
        <v>0</v>
      </c>
      <c r="R95">
        <v>0</v>
      </c>
      <c r="S95" t="b">
        <v>0</v>
      </c>
      <c r="T95" t="b">
        <f t="shared" si="0"/>
        <v>0</v>
      </c>
      <c r="U95" t="b">
        <f t="shared" si="1"/>
        <v>1</v>
      </c>
      <c r="V95" t="b">
        <f t="shared" si="2"/>
        <v>0</v>
      </c>
      <c r="W95" t="b">
        <f t="shared" si="3"/>
        <v>0</v>
      </c>
      <c r="X95" t="s">
        <v>852</v>
      </c>
    </row>
    <row r="96" spans="1:24" x14ac:dyDescent="0.25">
      <c r="A96">
        <v>1</v>
      </c>
      <c r="B96" t="s">
        <v>19</v>
      </c>
      <c r="C96">
        <v>26186191</v>
      </c>
      <c r="D96" t="s">
        <v>268</v>
      </c>
      <c r="E96" t="b">
        <v>1</v>
      </c>
      <c r="F96" t="b">
        <v>1</v>
      </c>
      <c r="G96" t="s">
        <v>479</v>
      </c>
      <c r="H96" t="b">
        <v>0</v>
      </c>
      <c r="I96" t="b">
        <v>0</v>
      </c>
      <c r="J96" t="s">
        <v>1086</v>
      </c>
      <c r="K96" s="4">
        <v>1</v>
      </c>
      <c r="Q96">
        <v>0</v>
      </c>
      <c r="R96">
        <v>0</v>
      </c>
      <c r="S96" t="b">
        <v>0</v>
      </c>
      <c r="T96" t="b">
        <f t="shared" si="0"/>
        <v>0</v>
      </c>
      <c r="U96" t="b">
        <f t="shared" si="1"/>
        <v>1</v>
      </c>
      <c r="V96" t="b">
        <f t="shared" si="2"/>
        <v>0</v>
      </c>
      <c r="W96" t="b">
        <f t="shared" si="3"/>
        <v>0</v>
      </c>
      <c r="X96" t="s">
        <v>848</v>
      </c>
    </row>
    <row r="97" spans="1:24" x14ac:dyDescent="0.25">
      <c r="A97">
        <v>1</v>
      </c>
      <c r="B97" t="s">
        <v>19</v>
      </c>
      <c r="C97">
        <v>26186191</v>
      </c>
      <c r="D97" t="s">
        <v>221</v>
      </c>
      <c r="E97" t="b">
        <v>1</v>
      </c>
      <c r="F97" t="b">
        <v>1</v>
      </c>
      <c r="G97" t="s">
        <v>554</v>
      </c>
      <c r="H97" t="b">
        <v>0</v>
      </c>
      <c r="I97" t="b">
        <v>0</v>
      </c>
      <c r="J97" t="s">
        <v>1086</v>
      </c>
      <c r="K97">
        <v>0</v>
      </c>
      <c r="Q97">
        <v>0</v>
      </c>
      <c r="R97">
        <v>0</v>
      </c>
      <c r="S97" t="b">
        <v>0</v>
      </c>
      <c r="T97" t="b">
        <f t="shared" si="0"/>
        <v>0</v>
      </c>
      <c r="U97" t="b">
        <f t="shared" si="1"/>
        <v>1</v>
      </c>
      <c r="V97" t="b">
        <f t="shared" si="2"/>
        <v>0</v>
      </c>
      <c r="W97" t="b">
        <f t="shared" si="3"/>
        <v>0</v>
      </c>
      <c r="X97" t="s">
        <v>1043</v>
      </c>
    </row>
    <row r="98" spans="1:24" x14ac:dyDescent="0.25">
      <c r="A98">
        <v>1</v>
      </c>
      <c r="B98" t="s">
        <v>19</v>
      </c>
      <c r="C98">
        <v>26186191</v>
      </c>
      <c r="D98" t="s">
        <v>469</v>
      </c>
      <c r="E98" t="b">
        <v>1</v>
      </c>
      <c r="F98" t="b">
        <v>1</v>
      </c>
      <c r="G98" t="s">
        <v>552</v>
      </c>
      <c r="H98" t="b">
        <v>0</v>
      </c>
      <c r="I98" t="b">
        <v>0</v>
      </c>
      <c r="J98" t="s">
        <v>1086</v>
      </c>
      <c r="K98" s="3">
        <v>2</v>
      </c>
      <c r="Q98">
        <v>0</v>
      </c>
      <c r="R98">
        <v>0</v>
      </c>
      <c r="S98" t="b">
        <v>0</v>
      </c>
      <c r="T98" t="b">
        <f t="shared" si="0"/>
        <v>0</v>
      </c>
      <c r="U98" t="b">
        <f t="shared" si="1"/>
        <v>1</v>
      </c>
      <c r="V98" t="b">
        <f t="shared" si="2"/>
        <v>0</v>
      </c>
      <c r="W98" t="b">
        <f t="shared" si="3"/>
        <v>0</v>
      </c>
      <c r="X98" t="s">
        <v>1040</v>
      </c>
    </row>
    <row r="99" spans="1:24" x14ac:dyDescent="0.25">
      <c r="A99">
        <v>1</v>
      </c>
      <c r="B99" t="s">
        <v>19</v>
      </c>
      <c r="C99">
        <v>26186191</v>
      </c>
      <c r="D99" t="s">
        <v>135</v>
      </c>
      <c r="E99" t="b">
        <v>1</v>
      </c>
      <c r="F99" t="b">
        <v>1</v>
      </c>
      <c r="G99" t="s">
        <v>478</v>
      </c>
      <c r="H99" t="b">
        <v>0</v>
      </c>
      <c r="I99" t="b">
        <v>0</v>
      </c>
      <c r="J99" t="s">
        <v>1086</v>
      </c>
      <c r="K99">
        <v>0</v>
      </c>
      <c r="Q99">
        <v>0</v>
      </c>
      <c r="R99">
        <v>0</v>
      </c>
      <c r="S99" t="b">
        <v>0</v>
      </c>
      <c r="T99" t="b">
        <f t="shared" si="0"/>
        <v>0</v>
      </c>
      <c r="U99" t="b">
        <f t="shared" si="1"/>
        <v>1</v>
      </c>
      <c r="V99" t="b">
        <f t="shared" si="2"/>
        <v>0</v>
      </c>
      <c r="W99" t="b">
        <f t="shared" si="3"/>
        <v>0</v>
      </c>
      <c r="X99" t="s">
        <v>721</v>
      </c>
    </row>
    <row r="100" spans="1:24" x14ac:dyDescent="0.25">
      <c r="A100">
        <v>1</v>
      </c>
      <c r="B100" t="s">
        <v>19</v>
      </c>
      <c r="C100">
        <v>26186191</v>
      </c>
      <c r="D100" t="s">
        <v>471</v>
      </c>
      <c r="E100" t="b">
        <v>1</v>
      </c>
      <c r="F100" t="b">
        <v>1</v>
      </c>
      <c r="G100" t="s">
        <v>553</v>
      </c>
      <c r="H100" t="b">
        <v>0</v>
      </c>
      <c r="I100" t="b">
        <v>0</v>
      </c>
      <c r="J100" t="s">
        <v>1087</v>
      </c>
      <c r="K100" s="3">
        <v>4</v>
      </c>
      <c r="L100" t="s">
        <v>569</v>
      </c>
      <c r="M100" t="s">
        <v>639</v>
      </c>
      <c r="N100" t="s">
        <v>662</v>
      </c>
      <c r="O100" t="s">
        <v>1046</v>
      </c>
      <c r="Q100">
        <v>0</v>
      </c>
      <c r="R100">
        <v>0</v>
      </c>
      <c r="S100" t="b">
        <v>1</v>
      </c>
      <c r="T100" t="b">
        <f t="shared" si="0"/>
        <v>0</v>
      </c>
      <c r="U100" t="b">
        <f t="shared" si="1"/>
        <v>0</v>
      </c>
      <c r="V100" t="b">
        <f t="shared" si="2"/>
        <v>1</v>
      </c>
      <c r="W100" t="b">
        <f t="shared" si="3"/>
        <v>0</v>
      </c>
      <c r="X100" t="s">
        <v>1042</v>
      </c>
    </row>
    <row r="101" spans="1:24" x14ac:dyDescent="0.25">
      <c r="A101">
        <v>1</v>
      </c>
      <c r="B101" t="s">
        <v>19</v>
      </c>
      <c r="C101">
        <v>26186191</v>
      </c>
      <c r="D101" t="s">
        <v>470</v>
      </c>
      <c r="E101" t="b">
        <v>1</v>
      </c>
      <c r="F101" t="b">
        <v>1</v>
      </c>
      <c r="G101" t="s">
        <v>553</v>
      </c>
      <c r="H101" t="b">
        <v>0</v>
      </c>
      <c r="I101" t="b">
        <v>0</v>
      </c>
      <c r="J101" t="s">
        <v>1088</v>
      </c>
      <c r="K101" s="3">
        <v>8</v>
      </c>
      <c r="M101" t="s">
        <v>660</v>
      </c>
      <c r="N101" t="s">
        <v>701</v>
      </c>
      <c r="O101" t="s">
        <v>1047</v>
      </c>
      <c r="Q101">
        <v>0</v>
      </c>
      <c r="R101">
        <v>0</v>
      </c>
      <c r="S101" t="b">
        <v>0</v>
      </c>
      <c r="T101" t="b">
        <f t="shared" si="0"/>
        <v>0</v>
      </c>
      <c r="U101" t="b">
        <f t="shared" si="1"/>
        <v>1</v>
      </c>
      <c r="V101" t="b">
        <f t="shared" si="2"/>
        <v>0</v>
      </c>
      <c r="W101" t="b">
        <f t="shared" si="3"/>
        <v>0</v>
      </c>
      <c r="X101" t="s">
        <v>1041</v>
      </c>
    </row>
    <row r="102" spans="1:24" x14ac:dyDescent="0.25">
      <c r="A102">
        <v>1</v>
      </c>
      <c r="B102" t="s">
        <v>19</v>
      </c>
      <c r="C102">
        <v>26186191</v>
      </c>
      <c r="D102" t="s">
        <v>272</v>
      </c>
      <c r="E102" t="b">
        <v>1</v>
      </c>
      <c r="F102" t="b">
        <v>1</v>
      </c>
      <c r="G102" t="s">
        <v>515</v>
      </c>
      <c r="H102" t="b">
        <v>0</v>
      </c>
      <c r="I102" t="b">
        <v>0</v>
      </c>
      <c r="J102" t="s">
        <v>1082</v>
      </c>
      <c r="K102">
        <v>0</v>
      </c>
      <c r="L102" t="s">
        <v>581</v>
      </c>
      <c r="M102" t="s">
        <v>643</v>
      </c>
      <c r="O102" t="s">
        <v>1045</v>
      </c>
      <c r="Q102">
        <v>0</v>
      </c>
      <c r="R102">
        <v>0</v>
      </c>
      <c r="S102" t="b">
        <v>0</v>
      </c>
      <c r="T102" t="b">
        <f t="shared" si="0"/>
        <v>0</v>
      </c>
      <c r="U102" t="b">
        <f t="shared" si="1"/>
        <v>1</v>
      </c>
      <c r="V102" t="b">
        <f t="shared" si="2"/>
        <v>0</v>
      </c>
      <c r="W102" t="b">
        <f t="shared" si="3"/>
        <v>0</v>
      </c>
      <c r="X102" t="s">
        <v>851</v>
      </c>
    </row>
    <row r="103" spans="1:24" x14ac:dyDescent="0.25">
      <c r="A103">
        <v>1</v>
      </c>
      <c r="B103" t="s">
        <v>19</v>
      </c>
      <c r="C103">
        <v>26186191</v>
      </c>
      <c r="D103" t="s">
        <v>138</v>
      </c>
      <c r="E103" t="b">
        <v>1</v>
      </c>
      <c r="F103" t="b">
        <v>1</v>
      </c>
      <c r="G103" t="s">
        <v>479</v>
      </c>
      <c r="H103" t="b">
        <v>0</v>
      </c>
      <c r="I103" t="b">
        <v>0</v>
      </c>
      <c r="J103" t="s">
        <v>1086</v>
      </c>
      <c r="K103" s="3">
        <v>1</v>
      </c>
      <c r="Q103">
        <v>0</v>
      </c>
      <c r="R103">
        <v>0</v>
      </c>
      <c r="S103" t="b">
        <v>0</v>
      </c>
      <c r="T103" t="b">
        <f t="shared" si="0"/>
        <v>0</v>
      </c>
      <c r="U103" t="b">
        <f t="shared" si="1"/>
        <v>1</v>
      </c>
      <c r="V103" t="b">
        <f t="shared" si="2"/>
        <v>0</v>
      </c>
      <c r="W103" t="b">
        <f t="shared" si="3"/>
        <v>0</v>
      </c>
      <c r="X103" t="s">
        <v>723</v>
      </c>
    </row>
    <row r="104" spans="1:24" x14ac:dyDescent="0.25">
      <c r="A104">
        <v>1</v>
      </c>
      <c r="B104" t="s">
        <v>19</v>
      </c>
      <c r="C104">
        <v>26186191</v>
      </c>
      <c r="D104" t="s">
        <v>271</v>
      </c>
      <c r="E104" t="b">
        <v>1</v>
      </c>
      <c r="F104" t="b">
        <v>1</v>
      </c>
      <c r="G104" t="s">
        <v>515</v>
      </c>
      <c r="H104" t="b">
        <v>0</v>
      </c>
      <c r="I104" t="b">
        <v>0</v>
      </c>
      <c r="J104" t="s">
        <v>1089</v>
      </c>
      <c r="K104">
        <v>0</v>
      </c>
      <c r="L104" t="s">
        <v>581</v>
      </c>
      <c r="M104" t="s">
        <v>643</v>
      </c>
      <c r="O104" t="s">
        <v>1045</v>
      </c>
      <c r="Q104">
        <v>0</v>
      </c>
      <c r="R104">
        <v>0</v>
      </c>
      <c r="S104" t="b">
        <v>0</v>
      </c>
      <c r="T104" t="b">
        <f t="shared" si="0"/>
        <v>0</v>
      </c>
      <c r="U104" t="b">
        <f t="shared" si="1"/>
        <v>1</v>
      </c>
      <c r="V104" t="b">
        <f t="shared" si="2"/>
        <v>0</v>
      </c>
      <c r="W104" t="b">
        <f t="shared" si="3"/>
        <v>0</v>
      </c>
      <c r="X104" t="s">
        <v>850</v>
      </c>
    </row>
    <row r="105" spans="1:24" x14ac:dyDescent="0.25">
      <c r="A105">
        <v>1</v>
      </c>
      <c r="B105" t="s">
        <v>19</v>
      </c>
      <c r="C105">
        <v>26186191</v>
      </c>
      <c r="D105" t="s">
        <v>136</v>
      </c>
      <c r="E105" t="b">
        <v>1</v>
      </c>
      <c r="F105" t="b">
        <v>1</v>
      </c>
      <c r="G105" t="s">
        <v>479</v>
      </c>
      <c r="H105" t="b">
        <v>0</v>
      </c>
      <c r="I105" t="b">
        <v>0</v>
      </c>
      <c r="J105" t="s">
        <v>1086</v>
      </c>
      <c r="K105">
        <v>0</v>
      </c>
      <c r="Q105">
        <v>0</v>
      </c>
      <c r="R105">
        <v>0</v>
      </c>
      <c r="S105" t="b">
        <v>0</v>
      </c>
      <c r="T105" t="b">
        <f t="shared" si="0"/>
        <v>0</v>
      </c>
      <c r="U105" t="b">
        <f t="shared" si="1"/>
        <v>1</v>
      </c>
      <c r="V105" t="b">
        <f t="shared" si="2"/>
        <v>0</v>
      </c>
      <c r="W105" t="b">
        <f t="shared" si="3"/>
        <v>0</v>
      </c>
      <c r="X105" t="s">
        <v>722</v>
      </c>
    </row>
    <row r="106" spans="1:24" x14ac:dyDescent="0.25">
      <c r="A106">
        <v>1</v>
      </c>
      <c r="B106" t="s">
        <v>20</v>
      </c>
      <c r="C106">
        <v>28184278</v>
      </c>
      <c r="D106" t="s">
        <v>134</v>
      </c>
      <c r="E106" t="b">
        <v>1</v>
      </c>
      <c r="F106" t="b">
        <v>1</v>
      </c>
      <c r="G106" t="s">
        <v>477</v>
      </c>
      <c r="H106" t="b">
        <v>0</v>
      </c>
      <c r="I106" t="b">
        <v>0</v>
      </c>
      <c r="J106" t="s">
        <v>1090</v>
      </c>
      <c r="K106">
        <v>0</v>
      </c>
      <c r="L106" t="s">
        <v>562</v>
      </c>
      <c r="M106" t="s">
        <v>613</v>
      </c>
      <c r="N106" t="s">
        <v>668</v>
      </c>
      <c r="Q106">
        <v>0</v>
      </c>
      <c r="R106">
        <v>0</v>
      </c>
      <c r="S106" t="b">
        <v>0</v>
      </c>
      <c r="T106" t="b">
        <f t="shared" si="0"/>
        <v>0</v>
      </c>
      <c r="U106" t="b">
        <f t="shared" si="1"/>
        <v>1</v>
      </c>
      <c r="V106" t="b">
        <f t="shared" si="2"/>
        <v>0</v>
      </c>
      <c r="W106" t="b">
        <f t="shared" si="3"/>
        <v>0</v>
      </c>
      <c r="X106" t="s">
        <v>720</v>
      </c>
    </row>
    <row r="107" spans="1:24" x14ac:dyDescent="0.25">
      <c r="A107">
        <v>1</v>
      </c>
      <c r="B107" t="s">
        <v>20</v>
      </c>
      <c r="C107">
        <v>28184278</v>
      </c>
      <c r="D107" t="s">
        <v>285</v>
      </c>
      <c r="E107" t="b">
        <v>1</v>
      </c>
      <c r="F107" t="b">
        <v>1</v>
      </c>
      <c r="G107" t="s">
        <v>477</v>
      </c>
      <c r="H107" t="b">
        <v>0</v>
      </c>
      <c r="I107" t="b">
        <v>0</v>
      </c>
      <c r="J107" t="s">
        <v>1090</v>
      </c>
      <c r="K107">
        <v>0</v>
      </c>
      <c r="L107" t="s">
        <v>564</v>
      </c>
      <c r="M107" t="s">
        <v>620</v>
      </c>
      <c r="Q107">
        <v>0</v>
      </c>
      <c r="R107">
        <v>0</v>
      </c>
      <c r="S107" t="b">
        <v>0</v>
      </c>
      <c r="T107" t="b">
        <f t="shared" si="0"/>
        <v>0</v>
      </c>
      <c r="U107" t="b">
        <f t="shared" si="1"/>
        <v>1</v>
      </c>
      <c r="V107" t="b">
        <f t="shared" si="2"/>
        <v>0</v>
      </c>
      <c r="W107" t="b">
        <f t="shared" si="3"/>
        <v>0</v>
      </c>
      <c r="X107" t="s">
        <v>864</v>
      </c>
    </row>
    <row r="108" spans="1:24" x14ac:dyDescent="0.25">
      <c r="A108">
        <v>1</v>
      </c>
      <c r="B108" t="s">
        <v>20</v>
      </c>
      <c r="C108">
        <v>28184278</v>
      </c>
      <c r="D108" t="s">
        <v>284</v>
      </c>
      <c r="E108" t="b">
        <v>1</v>
      </c>
      <c r="F108" t="b">
        <v>1</v>
      </c>
      <c r="G108" t="s">
        <v>477</v>
      </c>
      <c r="H108" t="b">
        <v>0</v>
      </c>
      <c r="I108" t="b">
        <v>0</v>
      </c>
      <c r="J108" t="s">
        <v>1090</v>
      </c>
      <c r="K108">
        <v>0</v>
      </c>
      <c r="Q108">
        <v>0</v>
      </c>
      <c r="R108">
        <v>0</v>
      </c>
      <c r="S108" t="b">
        <v>0</v>
      </c>
      <c r="T108" t="b">
        <f t="shared" si="0"/>
        <v>0</v>
      </c>
      <c r="U108" t="b">
        <f t="shared" si="1"/>
        <v>1</v>
      </c>
      <c r="V108" t="b">
        <f t="shared" si="2"/>
        <v>0</v>
      </c>
      <c r="W108" t="b">
        <f t="shared" si="3"/>
        <v>0</v>
      </c>
      <c r="X108" t="s">
        <v>863</v>
      </c>
    </row>
    <row r="109" spans="1:24" x14ac:dyDescent="0.25">
      <c r="A109">
        <v>1</v>
      </c>
      <c r="B109" t="s">
        <v>20</v>
      </c>
      <c r="C109">
        <v>28184278</v>
      </c>
      <c r="D109" t="s">
        <v>155</v>
      </c>
      <c r="E109" t="b">
        <v>1</v>
      </c>
      <c r="F109" t="b">
        <v>1</v>
      </c>
      <c r="G109" t="s">
        <v>477</v>
      </c>
      <c r="H109" t="b">
        <v>0</v>
      </c>
      <c r="I109" t="b">
        <v>0</v>
      </c>
      <c r="J109" t="s">
        <v>1090</v>
      </c>
      <c r="K109">
        <v>0</v>
      </c>
      <c r="L109" t="s">
        <v>564</v>
      </c>
      <c r="Q109">
        <v>0</v>
      </c>
      <c r="R109">
        <v>0</v>
      </c>
      <c r="S109" t="b">
        <v>0</v>
      </c>
      <c r="T109" t="b">
        <f t="shared" si="0"/>
        <v>0</v>
      </c>
      <c r="U109" t="b">
        <f t="shared" si="1"/>
        <v>1</v>
      </c>
      <c r="V109" t="b">
        <f t="shared" si="2"/>
        <v>0</v>
      </c>
      <c r="W109" t="b">
        <f t="shared" si="3"/>
        <v>0</v>
      </c>
      <c r="X109" t="s">
        <v>740</v>
      </c>
    </row>
    <row r="110" spans="1:24" x14ac:dyDescent="0.25">
      <c r="A110">
        <v>1</v>
      </c>
      <c r="B110" t="s">
        <v>20</v>
      </c>
      <c r="C110">
        <v>28184278</v>
      </c>
      <c r="D110" t="s">
        <v>154</v>
      </c>
      <c r="E110" t="b">
        <v>1</v>
      </c>
      <c r="F110" t="b">
        <v>1</v>
      </c>
      <c r="G110" t="s">
        <v>477</v>
      </c>
      <c r="H110" t="b">
        <v>0</v>
      </c>
      <c r="I110" t="b">
        <v>0</v>
      </c>
      <c r="J110" t="s">
        <v>1090</v>
      </c>
      <c r="K110">
        <v>0</v>
      </c>
      <c r="L110" t="s">
        <v>564</v>
      </c>
      <c r="M110" t="s">
        <v>620</v>
      </c>
      <c r="Q110">
        <v>0</v>
      </c>
      <c r="R110">
        <v>0</v>
      </c>
      <c r="S110" t="b">
        <v>0</v>
      </c>
      <c r="T110" t="b">
        <f t="shared" si="0"/>
        <v>0</v>
      </c>
      <c r="U110" t="b">
        <f t="shared" si="1"/>
        <v>1</v>
      </c>
      <c r="V110" t="b">
        <f t="shared" si="2"/>
        <v>0</v>
      </c>
      <c r="W110" t="b">
        <f t="shared" si="3"/>
        <v>0</v>
      </c>
      <c r="X110" t="s">
        <v>739</v>
      </c>
    </row>
    <row r="111" spans="1:24" x14ac:dyDescent="0.25">
      <c r="A111">
        <v>1</v>
      </c>
      <c r="B111" t="s">
        <v>20</v>
      </c>
      <c r="C111">
        <v>28184278</v>
      </c>
      <c r="D111" t="s">
        <v>153</v>
      </c>
      <c r="E111" t="b">
        <v>1</v>
      </c>
      <c r="F111" t="b">
        <v>1</v>
      </c>
      <c r="G111" t="s">
        <v>477</v>
      </c>
      <c r="H111" t="b">
        <v>0</v>
      </c>
      <c r="I111" t="b">
        <v>0</v>
      </c>
      <c r="J111" t="s">
        <v>1090</v>
      </c>
      <c r="K111">
        <v>0</v>
      </c>
      <c r="L111" t="s">
        <v>565</v>
      </c>
      <c r="Q111">
        <v>0</v>
      </c>
      <c r="R111">
        <v>0</v>
      </c>
      <c r="S111" t="b">
        <v>0</v>
      </c>
      <c r="T111" t="b">
        <f t="shared" si="0"/>
        <v>0</v>
      </c>
      <c r="U111" t="b">
        <f t="shared" si="1"/>
        <v>1</v>
      </c>
      <c r="V111" t="b">
        <f t="shared" si="2"/>
        <v>0</v>
      </c>
      <c r="W111" t="b">
        <f t="shared" si="3"/>
        <v>0</v>
      </c>
      <c r="X111" t="s">
        <v>738</v>
      </c>
    </row>
    <row r="112" spans="1:24" x14ac:dyDescent="0.25">
      <c r="A112">
        <v>1</v>
      </c>
      <c r="B112" t="s">
        <v>20</v>
      </c>
      <c r="C112">
        <v>28184278</v>
      </c>
      <c r="D112" t="s">
        <v>152</v>
      </c>
      <c r="E112" t="b">
        <v>1</v>
      </c>
      <c r="F112" t="b">
        <v>1</v>
      </c>
      <c r="G112" t="s">
        <v>477</v>
      </c>
      <c r="H112" t="b">
        <v>0</v>
      </c>
      <c r="I112" t="b">
        <v>0</v>
      </c>
      <c r="J112" t="s">
        <v>1090</v>
      </c>
      <c r="K112">
        <v>0</v>
      </c>
      <c r="L112" t="s">
        <v>565</v>
      </c>
      <c r="M112" t="s">
        <v>620</v>
      </c>
      <c r="Q112">
        <v>0</v>
      </c>
      <c r="R112">
        <v>0</v>
      </c>
      <c r="S112" t="b">
        <v>0</v>
      </c>
      <c r="T112" t="b">
        <f t="shared" si="0"/>
        <v>0</v>
      </c>
      <c r="U112" t="b">
        <f t="shared" si="1"/>
        <v>1</v>
      </c>
      <c r="V112" t="b">
        <f t="shared" si="2"/>
        <v>0</v>
      </c>
      <c r="W112" t="b">
        <f t="shared" si="3"/>
        <v>0</v>
      </c>
      <c r="X112" t="s">
        <v>737</v>
      </c>
    </row>
    <row r="113" spans="1:24" x14ac:dyDescent="0.25">
      <c r="A113">
        <v>1</v>
      </c>
      <c r="B113" t="s">
        <v>20</v>
      </c>
      <c r="C113">
        <v>28184278</v>
      </c>
      <c r="D113" t="s">
        <v>151</v>
      </c>
      <c r="E113" t="b">
        <v>1</v>
      </c>
      <c r="F113" t="b">
        <v>1</v>
      </c>
      <c r="G113" t="s">
        <v>477</v>
      </c>
      <c r="H113" t="b">
        <v>0</v>
      </c>
      <c r="I113" t="b">
        <v>0</v>
      </c>
      <c r="J113" t="s">
        <v>1090</v>
      </c>
      <c r="K113">
        <v>0</v>
      </c>
      <c r="L113" t="s">
        <v>564</v>
      </c>
      <c r="Q113">
        <v>0</v>
      </c>
      <c r="R113">
        <v>0</v>
      </c>
      <c r="S113" t="b">
        <v>0</v>
      </c>
      <c r="T113" t="b">
        <f t="shared" si="0"/>
        <v>0</v>
      </c>
      <c r="U113" t="b">
        <f t="shared" si="1"/>
        <v>1</v>
      </c>
      <c r="V113" t="b">
        <f t="shared" si="2"/>
        <v>0</v>
      </c>
      <c r="W113" t="b">
        <f t="shared" si="3"/>
        <v>0</v>
      </c>
      <c r="X113" t="s">
        <v>736</v>
      </c>
    </row>
    <row r="114" spans="1:24" x14ac:dyDescent="0.25">
      <c r="A114">
        <v>1</v>
      </c>
      <c r="B114" t="s">
        <v>20</v>
      </c>
      <c r="C114">
        <v>28184278</v>
      </c>
      <c r="D114" t="s">
        <v>150</v>
      </c>
      <c r="E114" t="b">
        <v>1</v>
      </c>
      <c r="F114" t="b">
        <v>1</v>
      </c>
      <c r="G114" t="s">
        <v>477</v>
      </c>
      <c r="H114" t="b">
        <v>0</v>
      </c>
      <c r="I114" t="b">
        <v>0</v>
      </c>
      <c r="J114" t="s">
        <v>1090</v>
      </c>
      <c r="K114">
        <v>0</v>
      </c>
      <c r="L114" t="s">
        <v>564</v>
      </c>
      <c r="M114" t="s">
        <v>620</v>
      </c>
      <c r="Q114">
        <v>0</v>
      </c>
      <c r="R114">
        <v>0</v>
      </c>
      <c r="S114" t="b">
        <v>0</v>
      </c>
      <c r="T114" t="b">
        <f t="shared" si="0"/>
        <v>0</v>
      </c>
      <c r="U114" t="b">
        <f t="shared" si="1"/>
        <v>1</v>
      </c>
      <c r="V114" t="b">
        <f t="shared" si="2"/>
        <v>0</v>
      </c>
      <c r="W114" t="b">
        <f t="shared" si="3"/>
        <v>0</v>
      </c>
      <c r="X114" t="s">
        <v>735</v>
      </c>
    </row>
    <row r="115" spans="1:24" x14ac:dyDescent="0.25">
      <c r="A115">
        <v>1</v>
      </c>
      <c r="B115" t="s">
        <v>20</v>
      </c>
      <c r="C115">
        <v>28184278</v>
      </c>
      <c r="D115" t="s">
        <v>149</v>
      </c>
      <c r="E115" t="b">
        <v>1</v>
      </c>
      <c r="F115" t="b">
        <v>1</v>
      </c>
      <c r="G115" t="s">
        <v>477</v>
      </c>
      <c r="H115" t="b">
        <v>0</v>
      </c>
      <c r="I115" t="b">
        <v>0</v>
      </c>
      <c r="J115" t="s">
        <v>1090</v>
      </c>
      <c r="K115">
        <v>0</v>
      </c>
      <c r="Q115">
        <v>0</v>
      </c>
      <c r="R115">
        <v>0</v>
      </c>
      <c r="S115" t="b">
        <v>0</v>
      </c>
      <c r="T115" t="b">
        <f t="shared" si="0"/>
        <v>0</v>
      </c>
      <c r="U115" t="b">
        <f t="shared" si="1"/>
        <v>1</v>
      </c>
      <c r="V115" t="b">
        <f t="shared" si="2"/>
        <v>0</v>
      </c>
      <c r="W115" t="b">
        <f t="shared" si="3"/>
        <v>0</v>
      </c>
      <c r="X115" t="s">
        <v>734</v>
      </c>
    </row>
    <row r="116" spans="1:24" x14ac:dyDescent="0.25">
      <c r="A116">
        <v>1</v>
      </c>
      <c r="B116" t="s">
        <v>20</v>
      </c>
      <c r="C116">
        <v>28184278</v>
      </c>
      <c r="D116" t="s">
        <v>148</v>
      </c>
      <c r="E116" t="b">
        <v>1</v>
      </c>
      <c r="F116" t="b">
        <v>1</v>
      </c>
      <c r="G116" t="s">
        <v>477</v>
      </c>
      <c r="H116" t="b">
        <v>0</v>
      </c>
      <c r="I116" t="b">
        <v>0</v>
      </c>
      <c r="J116" t="s">
        <v>1090</v>
      </c>
      <c r="K116">
        <v>0</v>
      </c>
      <c r="M116" t="s">
        <v>621</v>
      </c>
      <c r="Q116">
        <v>0</v>
      </c>
      <c r="R116">
        <v>0</v>
      </c>
      <c r="S116" t="b">
        <v>0</v>
      </c>
      <c r="T116" t="b">
        <f t="shared" si="0"/>
        <v>0</v>
      </c>
      <c r="U116" t="b">
        <f t="shared" si="1"/>
        <v>1</v>
      </c>
      <c r="V116" t="b">
        <f t="shared" si="2"/>
        <v>0</v>
      </c>
      <c r="W116" t="b">
        <f t="shared" si="3"/>
        <v>0</v>
      </c>
      <c r="X116" t="s">
        <v>733</v>
      </c>
    </row>
    <row r="117" spans="1:24" x14ac:dyDescent="0.25">
      <c r="A117">
        <v>1</v>
      </c>
      <c r="B117" t="s">
        <v>20</v>
      </c>
      <c r="C117">
        <v>28184278</v>
      </c>
      <c r="D117" t="s">
        <v>133</v>
      </c>
      <c r="E117" t="b">
        <v>1</v>
      </c>
      <c r="F117" t="b">
        <v>1</v>
      </c>
      <c r="G117" t="s">
        <v>477</v>
      </c>
      <c r="H117" t="b">
        <v>0</v>
      </c>
      <c r="I117" t="b">
        <v>0</v>
      </c>
      <c r="J117" t="s">
        <v>1090</v>
      </c>
      <c r="K117">
        <v>0</v>
      </c>
      <c r="L117" t="s">
        <v>562</v>
      </c>
      <c r="M117" t="s">
        <v>613</v>
      </c>
      <c r="N117" t="s">
        <v>668</v>
      </c>
      <c r="Q117">
        <v>0</v>
      </c>
      <c r="R117">
        <v>0</v>
      </c>
      <c r="S117" t="b">
        <v>0</v>
      </c>
      <c r="T117" t="b">
        <f t="shared" si="0"/>
        <v>0</v>
      </c>
      <c r="U117" t="b">
        <f t="shared" si="1"/>
        <v>1</v>
      </c>
      <c r="V117" t="b">
        <f t="shared" si="2"/>
        <v>0</v>
      </c>
      <c r="W117" t="b">
        <f t="shared" si="3"/>
        <v>0</v>
      </c>
      <c r="X117" t="s">
        <v>719</v>
      </c>
    </row>
    <row r="118" spans="1:24" x14ac:dyDescent="0.25">
      <c r="A118">
        <v>1</v>
      </c>
      <c r="B118" t="s">
        <v>20</v>
      </c>
      <c r="C118">
        <v>28184278</v>
      </c>
      <c r="D118" t="s">
        <v>147</v>
      </c>
      <c r="E118" t="b">
        <v>1</v>
      </c>
      <c r="F118" t="b">
        <v>1</v>
      </c>
      <c r="G118" t="s">
        <v>477</v>
      </c>
      <c r="H118" t="b">
        <v>0</v>
      </c>
      <c r="I118" t="b">
        <v>0</v>
      </c>
      <c r="J118" t="s">
        <v>1090</v>
      </c>
      <c r="K118">
        <v>0</v>
      </c>
      <c r="L118" t="s">
        <v>564</v>
      </c>
      <c r="M118" t="s">
        <v>620</v>
      </c>
      <c r="Q118">
        <v>0</v>
      </c>
      <c r="R118">
        <v>0</v>
      </c>
      <c r="S118" t="b">
        <v>0</v>
      </c>
      <c r="T118" t="b">
        <f t="shared" si="0"/>
        <v>0</v>
      </c>
      <c r="U118" t="b">
        <f t="shared" si="1"/>
        <v>1</v>
      </c>
      <c r="V118" t="b">
        <f t="shared" si="2"/>
        <v>0</v>
      </c>
      <c r="W118" t="b">
        <f t="shared" si="3"/>
        <v>0</v>
      </c>
      <c r="X118" t="s">
        <v>732</v>
      </c>
    </row>
    <row r="119" spans="1:24" x14ac:dyDescent="0.25">
      <c r="A119">
        <v>1</v>
      </c>
      <c r="B119" t="s">
        <v>20</v>
      </c>
      <c r="C119">
        <v>28184278</v>
      </c>
      <c r="D119" t="s">
        <v>306</v>
      </c>
      <c r="E119" t="b">
        <v>1</v>
      </c>
      <c r="F119" t="b">
        <v>1</v>
      </c>
      <c r="G119" t="s">
        <v>477</v>
      </c>
      <c r="H119" t="b">
        <v>0</v>
      </c>
      <c r="I119" t="b">
        <v>0</v>
      </c>
      <c r="J119" t="s">
        <v>1090</v>
      </c>
      <c r="K119" s="3">
        <v>2</v>
      </c>
      <c r="M119" t="s">
        <v>647</v>
      </c>
      <c r="Q119">
        <v>0</v>
      </c>
      <c r="R119">
        <v>0</v>
      </c>
      <c r="S119" t="b">
        <v>0</v>
      </c>
      <c r="T119" t="b">
        <f t="shared" si="0"/>
        <v>0</v>
      </c>
      <c r="U119" t="b">
        <f t="shared" si="1"/>
        <v>1</v>
      </c>
      <c r="V119" t="b">
        <f t="shared" si="2"/>
        <v>0</v>
      </c>
      <c r="W119" t="b">
        <f t="shared" si="3"/>
        <v>0</v>
      </c>
      <c r="X119" t="s">
        <v>884</v>
      </c>
    </row>
    <row r="120" spans="1:24" x14ac:dyDescent="0.25">
      <c r="A120">
        <v>1</v>
      </c>
      <c r="B120" t="s">
        <v>20</v>
      </c>
      <c r="C120">
        <v>28184278</v>
      </c>
      <c r="D120" t="s">
        <v>305</v>
      </c>
      <c r="E120" t="b">
        <v>1</v>
      </c>
      <c r="F120" t="b">
        <v>1</v>
      </c>
      <c r="G120" t="s">
        <v>477</v>
      </c>
      <c r="H120" t="b">
        <v>0</v>
      </c>
      <c r="I120" t="b">
        <v>0</v>
      </c>
      <c r="J120" t="s">
        <v>1090</v>
      </c>
      <c r="K120" s="3">
        <v>2</v>
      </c>
      <c r="L120" t="s">
        <v>564</v>
      </c>
      <c r="M120" t="s">
        <v>620</v>
      </c>
      <c r="Q120">
        <v>0</v>
      </c>
      <c r="R120">
        <v>0</v>
      </c>
      <c r="S120" t="b">
        <v>0</v>
      </c>
      <c r="T120" t="b">
        <f t="shared" si="0"/>
        <v>0</v>
      </c>
      <c r="U120" t="b">
        <f t="shared" si="1"/>
        <v>1</v>
      </c>
      <c r="V120" t="b">
        <f t="shared" si="2"/>
        <v>0</v>
      </c>
      <c r="W120" t="b">
        <f t="shared" si="3"/>
        <v>0</v>
      </c>
      <c r="X120" t="s">
        <v>883</v>
      </c>
    </row>
    <row r="121" spans="1:24" x14ac:dyDescent="0.25">
      <c r="A121">
        <v>1</v>
      </c>
      <c r="B121" t="s">
        <v>20</v>
      </c>
      <c r="C121">
        <v>28184278</v>
      </c>
      <c r="D121" t="s">
        <v>132</v>
      </c>
      <c r="E121" t="b">
        <v>1</v>
      </c>
      <c r="F121" t="b">
        <v>1</v>
      </c>
      <c r="G121" t="s">
        <v>477</v>
      </c>
      <c r="H121" t="b">
        <v>0</v>
      </c>
      <c r="I121" t="b">
        <v>0</v>
      </c>
      <c r="J121" t="s">
        <v>1091</v>
      </c>
      <c r="K121" s="2">
        <v>1</v>
      </c>
      <c r="L121" t="s">
        <v>561</v>
      </c>
      <c r="M121" t="s">
        <v>614</v>
      </c>
      <c r="N121" t="s">
        <v>667</v>
      </c>
      <c r="Q121">
        <v>0</v>
      </c>
      <c r="R121">
        <v>0</v>
      </c>
      <c r="S121" t="b">
        <v>0</v>
      </c>
      <c r="T121" t="b">
        <f t="shared" si="0"/>
        <v>0</v>
      </c>
      <c r="U121" t="b">
        <f t="shared" si="1"/>
        <v>1</v>
      </c>
      <c r="V121" t="b">
        <f t="shared" si="2"/>
        <v>0</v>
      </c>
      <c r="W121" t="b">
        <f t="shared" si="3"/>
        <v>0</v>
      </c>
      <c r="X121" t="s">
        <v>718</v>
      </c>
    </row>
    <row r="122" spans="1:24" x14ac:dyDescent="0.25">
      <c r="A122">
        <v>1</v>
      </c>
      <c r="B122" t="s">
        <v>20</v>
      </c>
      <c r="C122">
        <v>28184278</v>
      </c>
      <c r="D122" t="s">
        <v>131</v>
      </c>
      <c r="E122" t="b">
        <v>1</v>
      </c>
      <c r="F122" t="b">
        <v>1</v>
      </c>
      <c r="G122" t="s">
        <v>477</v>
      </c>
      <c r="H122" t="b">
        <v>0</v>
      </c>
      <c r="I122" t="b">
        <v>0</v>
      </c>
      <c r="J122" t="s">
        <v>1092</v>
      </c>
      <c r="K122">
        <v>0</v>
      </c>
      <c r="L122" t="s">
        <v>560</v>
      </c>
      <c r="M122" t="s">
        <v>613</v>
      </c>
      <c r="N122" t="s">
        <v>666</v>
      </c>
      <c r="O122" t="s">
        <v>1048</v>
      </c>
      <c r="Q122">
        <v>0</v>
      </c>
      <c r="R122">
        <v>0</v>
      </c>
      <c r="S122" t="b">
        <v>0</v>
      </c>
      <c r="T122" t="b">
        <f t="shared" si="0"/>
        <v>0</v>
      </c>
      <c r="U122" t="b">
        <f t="shared" si="1"/>
        <v>1</v>
      </c>
      <c r="V122" t="b">
        <f t="shared" si="2"/>
        <v>0</v>
      </c>
      <c r="W122" t="b">
        <f t="shared" si="3"/>
        <v>0</v>
      </c>
      <c r="X122" t="s">
        <v>717</v>
      </c>
    </row>
    <row r="123" spans="1:24" x14ac:dyDescent="0.25">
      <c r="A123">
        <v>1</v>
      </c>
      <c r="B123" t="s">
        <v>20</v>
      </c>
      <c r="C123">
        <v>28184278</v>
      </c>
      <c r="D123" t="s">
        <v>290</v>
      </c>
      <c r="E123" t="b">
        <v>1</v>
      </c>
      <c r="F123" t="b">
        <v>1</v>
      </c>
      <c r="G123" t="s">
        <v>477</v>
      </c>
      <c r="H123" t="b">
        <v>0</v>
      </c>
      <c r="I123" t="b">
        <v>0</v>
      </c>
      <c r="J123" t="s">
        <v>1092</v>
      </c>
      <c r="K123" s="2">
        <v>1</v>
      </c>
      <c r="L123" t="s">
        <v>586</v>
      </c>
      <c r="M123" t="s">
        <v>613</v>
      </c>
      <c r="N123" t="s">
        <v>689</v>
      </c>
      <c r="Q123">
        <v>0</v>
      </c>
      <c r="R123">
        <v>0</v>
      </c>
      <c r="S123" t="b">
        <v>0</v>
      </c>
      <c r="T123" t="b">
        <f t="shared" si="0"/>
        <v>0</v>
      </c>
      <c r="U123" t="b">
        <f t="shared" si="1"/>
        <v>1</v>
      </c>
      <c r="V123" t="b">
        <f t="shared" si="2"/>
        <v>0</v>
      </c>
      <c r="W123" t="b">
        <f t="shared" si="3"/>
        <v>0</v>
      </c>
      <c r="X123" t="s">
        <v>869</v>
      </c>
    </row>
    <row r="124" spans="1:24" x14ac:dyDescent="0.25">
      <c r="A124">
        <v>1</v>
      </c>
      <c r="B124" t="s">
        <v>20</v>
      </c>
      <c r="C124">
        <v>28184278</v>
      </c>
      <c r="D124" t="s">
        <v>289</v>
      </c>
      <c r="E124" t="b">
        <v>1</v>
      </c>
      <c r="F124" t="b">
        <v>1</v>
      </c>
      <c r="G124" t="s">
        <v>477</v>
      </c>
      <c r="H124" t="b">
        <v>0</v>
      </c>
      <c r="I124" t="b">
        <v>0</v>
      </c>
      <c r="J124" t="s">
        <v>1092</v>
      </c>
      <c r="K124" s="2">
        <v>1</v>
      </c>
      <c r="L124" t="s">
        <v>585</v>
      </c>
      <c r="M124" t="s">
        <v>613</v>
      </c>
      <c r="N124" t="s">
        <v>688</v>
      </c>
      <c r="Q124">
        <v>0</v>
      </c>
      <c r="R124">
        <v>0</v>
      </c>
      <c r="S124" t="b">
        <v>0</v>
      </c>
      <c r="T124" t="b">
        <f t="shared" si="0"/>
        <v>0</v>
      </c>
      <c r="U124" t="b">
        <f t="shared" si="1"/>
        <v>1</v>
      </c>
      <c r="V124" t="b">
        <f t="shared" si="2"/>
        <v>0</v>
      </c>
      <c r="W124" t="b">
        <f t="shared" si="3"/>
        <v>0</v>
      </c>
      <c r="X124" t="s">
        <v>868</v>
      </c>
    </row>
    <row r="125" spans="1:24" x14ac:dyDescent="0.25">
      <c r="A125">
        <v>1</v>
      </c>
      <c r="B125" t="s">
        <v>20</v>
      </c>
      <c r="C125">
        <v>28184278</v>
      </c>
      <c r="D125" t="s">
        <v>288</v>
      </c>
      <c r="E125" t="b">
        <v>1</v>
      </c>
      <c r="F125" t="b">
        <v>1</v>
      </c>
      <c r="G125" t="s">
        <v>477</v>
      </c>
      <c r="H125" t="b">
        <v>0</v>
      </c>
      <c r="I125" t="b">
        <v>0</v>
      </c>
      <c r="J125" t="s">
        <v>1090</v>
      </c>
      <c r="K125">
        <v>0</v>
      </c>
      <c r="O125" t="s">
        <v>1049</v>
      </c>
      <c r="Q125">
        <v>0</v>
      </c>
      <c r="R125">
        <v>0</v>
      </c>
      <c r="S125" t="b">
        <v>0</v>
      </c>
      <c r="T125" t="b">
        <f t="shared" si="0"/>
        <v>0</v>
      </c>
      <c r="U125" t="b">
        <f t="shared" si="1"/>
        <v>1</v>
      </c>
      <c r="V125" t="b">
        <f t="shared" si="2"/>
        <v>0</v>
      </c>
      <c r="W125" t="b">
        <f t="shared" si="3"/>
        <v>0</v>
      </c>
      <c r="X125" t="s">
        <v>867</v>
      </c>
    </row>
    <row r="126" spans="1:24" x14ac:dyDescent="0.25">
      <c r="A126">
        <v>1</v>
      </c>
      <c r="B126" t="s">
        <v>20</v>
      </c>
      <c r="C126">
        <v>28184278</v>
      </c>
      <c r="D126" t="s">
        <v>287</v>
      </c>
      <c r="E126" t="b">
        <v>1</v>
      </c>
      <c r="F126" t="b">
        <v>1</v>
      </c>
      <c r="G126" t="s">
        <v>477</v>
      </c>
      <c r="H126" t="b">
        <v>0</v>
      </c>
      <c r="I126" t="b">
        <v>0</v>
      </c>
      <c r="J126" t="s">
        <v>1090</v>
      </c>
      <c r="K126">
        <v>0</v>
      </c>
      <c r="L126" t="s">
        <v>564</v>
      </c>
      <c r="Q126">
        <v>0</v>
      </c>
      <c r="R126">
        <v>0</v>
      </c>
      <c r="S126" t="b">
        <v>0</v>
      </c>
      <c r="T126" t="b">
        <f t="shared" si="0"/>
        <v>0</v>
      </c>
      <c r="U126" t="b">
        <f t="shared" si="1"/>
        <v>1</v>
      </c>
      <c r="V126" t="b">
        <f t="shared" si="2"/>
        <v>0</v>
      </c>
      <c r="W126" t="b">
        <f t="shared" si="3"/>
        <v>0</v>
      </c>
      <c r="X126" t="s">
        <v>866</v>
      </c>
    </row>
    <row r="127" spans="1:24" x14ac:dyDescent="0.25">
      <c r="A127">
        <v>1</v>
      </c>
      <c r="B127" t="s">
        <v>20</v>
      </c>
      <c r="C127">
        <v>28184278</v>
      </c>
      <c r="D127" t="s">
        <v>286</v>
      </c>
      <c r="E127" t="b">
        <v>1</v>
      </c>
      <c r="F127" t="b">
        <v>1</v>
      </c>
      <c r="G127" t="s">
        <v>477</v>
      </c>
      <c r="H127" t="b">
        <v>0</v>
      </c>
      <c r="I127" t="b">
        <v>0</v>
      </c>
      <c r="J127" t="s">
        <v>1090</v>
      </c>
      <c r="K127">
        <v>0</v>
      </c>
      <c r="L127" t="s">
        <v>564</v>
      </c>
      <c r="M127" t="s">
        <v>620</v>
      </c>
      <c r="Q127">
        <v>0</v>
      </c>
      <c r="R127">
        <v>0</v>
      </c>
      <c r="S127" t="b">
        <v>0</v>
      </c>
      <c r="T127" t="b">
        <f t="shared" si="0"/>
        <v>0</v>
      </c>
      <c r="U127" t="b">
        <f t="shared" si="1"/>
        <v>1</v>
      </c>
      <c r="V127" t="b">
        <f t="shared" si="2"/>
        <v>0</v>
      </c>
      <c r="W127" t="b">
        <f t="shared" si="3"/>
        <v>0</v>
      </c>
      <c r="X127" t="s">
        <v>865</v>
      </c>
    </row>
    <row r="128" spans="1:24" x14ac:dyDescent="0.25">
      <c r="A128">
        <v>1</v>
      </c>
      <c r="B128" t="s">
        <v>21</v>
      </c>
      <c r="C128">
        <v>30545856</v>
      </c>
      <c r="D128" t="s">
        <v>322</v>
      </c>
      <c r="E128" t="b">
        <v>1</v>
      </c>
      <c r="F128" t="b">
        <v>1</v>
      </c>
      <c r="G128" t="s">
        <v>486</v>
      </c>
      <c r="H128" t="b">
        <v>0</v>
      </c>
      <c r="I128" t="b">
        <v>0</v>
      </c>
      <c r="J128" t="s">
        <v>1090</v>
      </c>
      <c r="K128">
        <v>0</v>
      </c>
      <c r="L128" t="s">
        <v>569</v>
      </c>
      <c r="M128" t="s">
        <v>648</v>
      </c>
      <c r="Q128">
        <v>0</v>
      </c>
      <c r="R128">
        <v>0</v>
      </c>
      <c r="S128" t="b">
        <v>0</v>
      </c>
      <c r="T128" t="b">
        <f t="shared" si="0"/>
        <v>0</v>
      </c>
      <c r="U128" t="b">
        <f t="shared" si="1"/>
        <v>1</v>
      </c>
      <c r="V128" t="b">
        <f t="shared" si="2"/>
        <v>0</v>
      </c>
      <c r="W128" t="b">
        <f t="shared" si="3"/>
        <v>0</v>
      </c>
      <c r="X128" t="s">
        <v>900</v>
      </c>
    </row>
    <row r="129" spans="1:24" x14ac:dyDescent="0.25">
      <c r="A129">
        <v>1</v>
      </c>
      <c r="B129" t="s">
        <v>21</v>
      </c>
      <c r="C129">
        <v>30545856</v>
      </c>
      <c r="D129" t="s">
        <v>321</v>
      </c>
      <c r="E129" t="b">
        <v>1</v>
      </c>
      <c r="F129" t="b">
        <v>1</v>
      </c>
      <c r="G129" t="s">
        <v>486</v>
      </c>
      <c r="H129" t="b">
        <v>0</v>
      </c>
      <c r="I129" t="b">
        <v>0</v>
      </c>
      <c r="J129" t="s">
        <v>1090</v>
      </c>
      <c r="K129">
        <v>0</v>
      </c>
      <c r="M129" t="s">
        <v>648</v>
      </c>
      <c r="Q129">
        <v>0</v>
      </c>
      <c r="R129">
        <v>0</v>
      </c>
      <c r="S129" t="b">
        <v>0</v>
      </c>
      <c r="T129" t="b">
        <f t="shared" si="0"/>
        <v>0</v>
      </c>
      <c r="U129" t="b">
        <f t="shared" si="1"/>
        <v>1</v>
      </c>
      <c r="V129" t="b">
        <f t="shared" si="2"/>
        <v>0</v>
      </c>
      <c r="W129" t="b">
        <f t="shared" si="3"/>
        <v>0</v>
      </c>
      <c r="X129" t="s">
        <v>899</v>
      </c>
    </row>
    <row r="130" spans="1:24" x14ac:dyDescent="0.25">
      <c r="A130">
        <v>1</v>
      </c>
      <c r="B130" t="s">
        <v>21</v>
      </c>
      <c r="C130">
        <v>30545856</v>
      </c>
      <c r="D130" t="s">
        <v>181</v>
      </c>
      <c r="E130" t="b">
        <v>1</v>
      </c>
      <c r="F130" t="b">
        <v>1</v>
      </c>
      <c r="G130" t="s">
        <v>492</v>
      </c>
      <c r="H130" t="b">
        <v>0</v>
      </c>
      <c r="I130" t="b">
        <v>0</v>
      </c>
      <c r="J130" t="s">
        <v>1090</v>
      </c>
      <c r="K130">
        <v>0</v>
      </c>
      <c r="L130" t="s">
        <v>573</v>
      </c>
      <c r="M130" t="s">
        <v>614</v>
      </c>
      <c r="Q130">
        <v>0</v>
      </c>
      <c r="R130">
        <v>0</v>
      </c>
      <c r="S130" t="b">
        <v>0</v>
      </c>
      <c r="T130" t="b">
        <f t="shared" si="0"/>
        <v>0</v>
      </c>
      <c r="U130" t="b">
        <f t="shared" si="1"/>
        <v>1</v>
      </c>
      <c r="V130" t="b">
        <f t="shared" si="2"/>
        <v>0</v>
      </c>
      <c r="W130" t="b">
        <f t="shared" si="3"/>
        <v>0</v>
      </c>
      <c r="X130" t="s">
        <v>766</v>
      </c>
    </row>
    <row r="131" spans="1:24" x14ac:dyDescent="0.25">
      <c r="A131">
        <v>1</v>
      </c>
      <c r="B131" t="s">
        <v>21</v>
      </c>
      <c r="C131">
        <v>30545856</v>
      </c>
      <c r="D131" t="s">
        <v>185</v>
      </c>
      <c r="E131" t="b">
        <v>0</v>
      </c>
      <c r="F131" t="b">
        <v>1</v>
      </c>
      <c r="G131" t="s">
        <v>492</v>
      </c>
      <c r="H131" t="b">
        <v>0</v>
      </c>
      <c r="I131" t="b">
        <v>0</v>
      </c>
      <c r="J131" t="s">
        <v>1093</v>
      </c>
      <c r="K131" s="2">
        <v>0</v>
      </c>
      <c r="L131" t="s">
        <v>574</v>
      </c>
      <c r="M131" t="s">
        <v>630</v>
      </c>
      <c r="N131" t="s">
        <v>680</v>
      </c>
      <c r="O131" t="s">
        <v>680</v>
      </c>
      <c r="Q131">
        <v>0</v>
      </c>
      <c r="R131">
        <v>0</v>
      </c>
      <c r="S131" t="b">
        <v>1</v>
      </c>
      <c r="T131" t="b">
        <f t="shared" si="0"/>
        <v>1</v>
      </c>
      <c r="U131" t="b">
        <f t="shared" si="1"/>
        <v>0</v>
      </c>
      <c r="V131" t="b">
        <f t="shared" si="2"/>
        <v>0</v>
      </c>
      <c r="W131" t="b">
        <f t="shared" si="3"/>
        <v>0</v>
      </c>
      <c r="X131" t="s">
        <v>770</v>
      </c>
    </row>
    <row r="132" spans="1:24" x14ac:dyDescent="0.25">
      <c r="A132">
        <v>1</v>
      </c>
      <c r="B132" t="s">
        <v>21</v>
      </c>
      <c r="C132">
        <v>30545856</v>
      </c>
      <c r="D132" t="s">
        <v>320</v>
      </c>
      <c r="E132" t="b">
        <v>1</v>
      </c>
      <c r="F132" t="b">
        <v>1</v>
      </c>
      <c r="G132" t="s">
        <v>486</v>
      </c>
      <c r="H132" t="b">
        <v>0</v>
      </c>
      <c r="I132" t="b">
        <v>0</v>
      </c>
      <c r="J132" t="s">
        <v>1090</v>
      </c>
      <c r="K132">
        <v>0</v>
      </c>
      <c r="M132" t="s">
        <v>648</v>
      </c>
      <c r="Q132">
        <v>0</v>
      </c>
      <c r="R132">
        <v>0</v>
      </c>
      <c r="S132" t="b">
        <v>0</v>
      </c>
      <c r="T132" t="b">
        <f t="shared" si="0"/>
        <v>0</v>
      </c>
      <c r="U132" t="b">
        <f t="shared" si="1"/>
        <v>1</v>
      </c>
      <c r="V132" t="b">
        <f t="shared" si="2"/>
        <v>0</v>
      </c>
      <c r="W132" t="b">
        <f t="shared" si="3"/>
        <v>0</v>
      </c>
      <c r="X132" t="s">
        <v>898</v>
      </c>
    </row>
    <row r="133" spans="1:24" x14ac:dyDescent="0.25">
      <c r="A133">
        <v>1</v>
      </c>
      <c r="B133" t="s">
        <v>21</v>
      </c>
      <c r="C133">
        <v>30545856</v>
      </c>
      <c r="D133" t="s">
        <v>319</v>
      </c>
      <c r="E133" t="b">
        <v>1</v>
      </c>
      <c r="F133" t="b">
        <v>1</v>
      </c>
      <c r="G133" t="s">
        <v>486</v>
      </c>
      <c r="H133" t="b">
        <v>0</v>
      </c>
      <c r="I133" t="b">
        <v>0</v>
      </c>
      <c r="J133" t="s">
        <v>1090</v>
      </c>
      <c r="K133">
        <v>0</v>
      </c>
      <c r="M133" t="s">
        <v>648</v>
      </c>
      <c r="Q133">
        <v>0</v>
      </c>
      <c r="R133">
        <v>0</v>
      </c>
      <c r="S133" t="b">
        <v>0</v>
      </c>
      <c r="T133" t="b">
        <f t="shared" si="0"/>
        <v>0</v>
      </c>
      <c r="U133" t="b">
        <f t="shared" si="1"/>
        <v>1</v>
      </c>
      <c r="V133" t="b">
        <f t="shared" si="2"/>
        <v>0</v>
      </c>
      <c r="W133" t="b">
        <f t="shared" si="3"/>
        <v>0</v>
      </c>
      <c r="X133" t="s">
        <v>897</v>
      </c>
    </row>
    <row r="134" spans="1:24" x14ac:dyDescent="0.25">
      <c r="A134">
        <v>1</v>
      </c>
      <c r="B134" t="s">
        <v>21</v>
      </c>
      <c r="C134">
        <v>30545856</v>
      </c>
      <c r="D134" t="s">
        <v>184</v>
      </c>
      <c r="E134" t="b">
        <v>0</v>
      </c>
      <c r="F134" t="b">
        <v>1</v>
      </c>
      <c r="G134" t="s">
        <v>492</v>
      </c>
      <c r="H134" t="b">
        <v>0</v>
      </c>
      <c r="I134" t="b">
        <v>0</v>
      </c>
      <c r="J134" t="s">
        <v>1093</v>
      </c>
      <c r="K134">
        <v>0</v>
      </c>
      <c r="M134" t="s">
        <v>617</v>
      </c>
      <c r="N134" t="s">
        <v>680</v>
      </c>
      <c r="O134" t="s">
        <v>680</v>
      </c>
      <c r="Q134">
        <v>0</v>
      </c>
      <c r="R134">
        <v>0</v>
      </c>
      <c r="S134" t="b">
        <v>0</v>
      </c>
      <c r="T134" t="b">
        <f t="shared" si="0"/>
        <v>0</v>
      </c>
      <c r="U134" t="b">
        <f t="shared" si="1"/>
        <v>0</v>
      </c>
      <c r="V134" t="b">
        <f t="shared" si="2"/>
        <v>0</v>
      </c>
      <c r="W134" t="b">
        <f t="shared" si="3"/>
        <v>1</v>
      </c>
      <c r="X134" t="s">
        <v>769</v>
      </c>
    </row>
    <row r="135" spans="1:24" x14ac:dyDescent="0.25">
      <c r="A135">
        <v>1</v>
      </c>
      <c r="B135" t="s">
        <v>21</v>
      </c>
      <c r="C135">
        <v>30545856</v>
      </c>
      <c r="D135" t="s">
        <v>182</v>
      </c>
      <c r="E135" t="b">
        <v>0</v>
      </c>
      <c r="F135" t="b">
        <v>1</v>
      </c>
      <c r="G135" t="s">
        <v>492</v>
      </c>
      <c r="H135" t="b">
        <v>0</v>
      </c>
      <c r="I135" t="b">
        <v>0</v>
      </c>
      <c r="J135" t="s">
        <v>1093</v>
      </c>
      <c r="K135" s="2">
        <v>0</v>
      </c>
      <c r="L135" t="s">
        <v>573</v>
      </c>
      <c r="M135" t="s">
        <v>614</v>
      </c>
      <c r="N135" t="s">
        <v>679</v>
      </c>
      <c r="Q135">
        <v>0</v>
      </c>
      <c r="R135">
        <v>0</v>
      </c>
      <c r="S135" t="b">
        <v>1</v>
      </c>
      <c r="T135" t="b">
        <f t="shared" si="0"/>
        <v>1</v>
      </c>
      <c r="U135" t="b">
        <f t="shared" si="1"/>
        <v>0</v>
      </c>
      <c r="V135" t="b">
        <f t="shared" si="2"/>
        <v>0</v>
      </c>
      <c r="W135" t="b">
        <f t="shared" si="3"/>
        <v>0</v>
      </c>
      <c r="X135" t="s">
        <v>767</v>
      </c>
    </row>
    <row r="136" spans="1:24" x14ac:dyDescent="0.25">
      <c r="A136">
        <v>1</v>
      </c>
      <c r="B136" t="s">
        <v>21</v>
      </c>
      <c r="C136">
        <v>30545856</v>
      </c>
      <c r="D136" t="s">
        <v>171</v>
      </c>
      <c r="E136" t="b">
        <v>1</v>
      </c>
      <c r="F136" t="b">
        <v>1</v>
      </c>
      <c r="G136" t="s">
        <v>488</v>
      </c>
      <c r="H136" t="b">
        <v>0</v>
      </c>
      <c r="I136" t="b">
        <v>0</v>
      </c>
      <c r="J136" t="s">
        <v>1094</v>
      </c>
      <c r="K136" s="2">
        <v>0</v>
      </c>
      <c r="L136" t="s">
        <v>568</v>
      </c>
      <c r="M136" t="s">
        <v>625</v>
      </c>
      <c r="N136" t="s">
        <v>672</v>
      </c>
      <c r="Q136">
        <v>0</v>
      </c>
      <c r="R136">
        <v>0</v>
      </c>
      <c r="S136" t="b">
        <v>1</v>
      </c>
      <c r="T136" t="b">
        <f t="shared" si="0"/>
        <v>0</v>
      </c>
      <c r="U136" t="b">
        <f t="shared" si="1"/>
        <v>0</v>
      </c>
      <c r="V136" t="b">
        <f t="shared" si="2"/>
        <v>1</v>
      </c>
      <c r="W136" t="b">
        <f t="shared" si="3"/>
        <v>0</v>
      </c>
      <c r="X136" t="s">
        <v>756</v>
      </c>
    </row>
    <row r="137" spans="1:24" x14ac:dyDescent="0.25">
      <c r="A137">
        <v>1</v>
      </c>
      <c r="B137" t="s">
        <v>21</v>
      </c>
      <c r="C137">
        <v>30545856</v>
      </c>
      <c r="D137" t="s">
        <v>168</v>
      </c>
      <c r="E137" t="b">
        <v>1</v>
      </c>
      <c r="F137" t="b">
        <v>1</v>
      </c>
      <c r="G137" t="s">
        <v>488</v>
      </c>
      <c r="H137" t="b">
        <v>0</v>
      </c>
      <c r="I137" t="b">
        <v>0</v>
      </c>
      <c r="J137" t="s">
        <v>1094</v>
      </c>
      <c r="K137" s="2">
        <v>0</v>
      </c>
      <c r="L137" t="s">
        <v>568</v>
      </c>
      <c r="M137" t="s">
        <v>625</v>
      </c>
      <c r="N137" t="s">
        <v>672</v>
      </c>
      <c r="Q137">
        <v>0</v>
      </c>
      <c r="R137">
        <v>0</v>
      </c>
      <c r="S137" t="b">
        <v>1</v>
      </c>
      <c r="T137" t="b">
        <f t="shared" si="0"/>
        <v>0</v>
      </c>
      <c r="U137" t="b">
        <f t="shared" si="1"/>
        <v>0</v>
      </c>
      <c r="V137" t="b">
        <f t="shared" si="2"/>
        <v>1</v>
      </c>
      <c r="W137" t="b">
        <f t="shared" si="3"/>
        <v>0</v>
      </c>
      <c r="X137" t="s">
        <v>753</v>
      </c>
    </row>
    <row r="138" spans="1:24" x14ac:dyDescent="0.25">
      <c r="A138">
        <v>1</v>
      </c>
      <c r="B138" t="s">
        <v>21</v>
      </c>
      <c r="C138">
        <v>30545856</v>
      </c>
      <c r="D138" t="s">
        <v>303</v>
      </c>
      <c r="E138" t="b">
        <v>0</v>
      </c>
      <c r="F138" t="b">
        <v>1</v>
      </c>
      <c r="G138" t="s">
        <v>488</v>
      </c>
      <c r="H138" t="b">
        <v>0</v>
      </c>
      <c r="I138" t="b">
        <v>0</v>
      </c>
      <c r="J138" t="s">
        <v>1093</v>
      </c>
      <c r="K138" s="2">
        <v>0</v>
      </c>
      <c r="L138" t="s">
        <v>588</v>
      </c>
      <c r="M138" t="s">
        <v>617</v>
      </c>
      <c r="N138" t="s">
        <v>674</v>
      </c>
      <c r="O138" t="s">
        <v>674</v>
      </c>
      <c r="Q138">
        <v>0</v>
      </c>
      <c r="R138">
        <v>0</v>
      </c>
      <c r="S138" t="b">
        <v>1</v>
      </c>
      <c r="T138" t="b">
        <f t="shared" si="0"/>
        <v>1</v>
      </c>
      <c r="U138" t="b">
        <f t="shared" si="1"/>
        <v>0</v>
      </c>
      <c r="V138" t="b">
        <f t="shared" si="2"/>
        <v>0</v>
      </c>
      <c r="W138" t="b">
        <f t="shared" si="3"/>
        <v>0</v>
      </c>
      <c r="X138" t="s">
        <v>881</v>
      </c>
    </row>
    <row r="139" spans="1:24" x14ac:dyDescent="0.25">
      <c r="A139">
        <v>1</v>
      </c>
      <c r="B139" t="s">
        <v>21</v>
      </c>
      <c r="C139">
        <v>30545856</v>
      </c>
      <c r="D139" t="s">
        <v>164</v>
      </c>
      <c r="E139" t="b">
        <v>0</v>
      </c>
      <c r="F139" t="b">
        <v>1</v>
      </c>
      <c r="G139" t="s">
        <v>486</v>
      </c>
      <c r="H139" t="b">
        <v>0</v>
      </c>
      <c r="I139" t="b">
        <v>0</v>
      </c>
      <c r="J139" t="s">
        <v>1093</v>
      </c>
      <c r="K139" s="2">
        <v>0</v>
      </c>
      <c r="L139" t="s">
        <v>566</v>
      </c>
      <c r="M139" t="s">
        <v>624</v>
      </c>
      <c r="N139" t="s">
        <v>673</v>
      </c>
      <c r="O139" t="s">
        <v>673</v>
      </c>
      <c r="Q139">
        <v>0</v>
      </c>
      <c r="R139">
        <v>0</v>
      </c>
      <c r="S139" t="b">
        <v>1</v>
      </c>
      <c r="T139" t="b">
        <f t="shared" si="0"/>
        <v>1</v>
      </c>
      <c r="U139" t="b">
        <f t="shared" si="1"/>
        <v>0</v>
      </c>
      <c r="V139" t="b">
        <f t="shared" si="2"/>
        <v>0</v>
      </c>
      <c r="W139" t="b">
        <f t="shared" si="3"/>
        <v>0</v>
      </c>
      <c r="X139" t="s">
        <v>749</v>
      </c>
    </row>
    <row r="140" spans="1:24" x14ac:dyDescent="0.25">
      <c r="A140">
        <v>1</v>
      </c>
      <c r="B140" t="s">
        <v>21</v>
      </c>
      <c r="C140">
        <v>30545856</v>
      </c>
      <c r="D140" t="s">
        <v>302</v>
      </c>
      <c r="E140" t="b">
        <v>0</v>
      </c>
      <c r="F140" t="b">
        <v>1</v>
      </c>
      <c r="G140" t="s">
        <v>488</v>
      </c>
      <c r="H140" t="b">
        <v>0</v>
      </c>
      <c r="I140" t="b">
        <v>0</v>
      </c>
      <c r="J140" t="s">
        <v>1093</v>
      </c>
      <c r="K140" s="2">
        <v>0</v>
      </c>
      <c r="L140" t="s">
        <v>588</v>
      </c>
      <c r="M140" t="s">
        <v>616</v>
      </c>
      <c r="N140" t="s">
        <v>674</v>
      </c>
      <c r="O140" t="s">
        <v>674</v>
      </c>
      <c r="Q140">
        <v>0</v>
      </c>
      <c r="R140">
        <v>0</v>
      </c>
      <c r="S140" t="b">
        <v>0</v>
      </c>
      <c r="T140" t="b">
        <f t="shared" si="0"/>
        <v>0</v>
      </c>
      <c r="U140" t="b">
        <f t="shared" si="1"/>
        <v>0</v>
      </c>
      <c r="V140" t="b">
        <f t="shared" si="2"/>
        <v>0</v>
      </c>
      <c r="W140" t="b">
        <f t="shared" si="3"/>
        <v>1</v>
      </c>
      <c r="X140" t="s">
        <v>880</v>
      </c>
    </row>
    <row r="141" spans="1:24" x14ac:dyDescent="0.25">
      <c r="A141">
        <v>1</v>
      </c>
      <c r="B141" t="s">
        <v>21</v>
      </c>
      <c r="C141">
        <v>30545856</v>
      </c>
      <c r="D141" t="s">
        <v>301</v>
      </c>
      <c r="E141" t="b">
        <v>1</v>
      </c>
      <c r="F141" t="b">
        <v>1</v>
      </c>
      <c r="G141" t="s">
        <v>488</v>
      </c>
      <c r="H141" t="b">
        <v>0</v>
      </c>
      <c r="I141" t="b">
        <v>0</v>
      </c>
      <c r="J141" t="s">
        <v>1098</v>
      </c>
      <c r="K141">
        <v>0</v>
      </c>
      <c r="L141" t="s">
        <v>587</v>
      </c>
      <c r="M141" t="s">
        <v>616</v>
      </c>
      <c r="Q141">
        <v>0</v>
      </c>
      <c r="R141">
        <v>0</v>
      </c>
      <c r="S141" t="b">
        <v>0</v>
      </c>
      <c r="T141" t="b">
        <f t="shared" si="0"/>
        <v>0</v>
      </c>
      <c r="U141" t="b">
        <f t="shared" si="1"/>
        <v>1</v>
      </c>
      <c r="V141" t="b">
        <f t="shared" si="2"/>
        <v>0</v>
      </c>
      <c r="W141" t="b">
        <f t="shared" si="3"/>
        <v>0</v>
      </c>
      <c r="X141" t="s">
        <v>879</v>
      </c>
    </row>
    <row r="142" spans="1:24" x14ac:dyDescent="0.25">
      <c r="A142">
        <v>1</v>
      </c>
      <c r="B142" t="s">
        <v>21</v>
      </c>
      <c r="C142">
        <v>30545856</v>
      </c>
      <c r="D142" t="s">
        <v>163</v>
      </c>
      <c r="E142" t="b">
        <v>1</v>
      </c>
      <c r="F142" t="b">
        <v>1</v>
      </c>
      <c r="G142" t="s">
        <v>486</v>
      </c>
      <c r="H142" t="b">
        <v>0</v>
      </c>
      <c r="I142" t="b">
        <v>0</v>
      </c>
      <c r="J142" t="s">
        <v>1098</v>
      </c>
      <c r="K142">
        <v>0</v>
      </c>
      <c r="Q142">
        <v>0</v>
      </c>
      <c r="R142">
        <v>0</v>
      </c>
      <c r="S142" t="b">
        <v>0</v>
      </c>
      <c r="T142" t="b">
        <f t="shared" si="0"/>
        <v>0</v>
      </c>
      <c r="U142" t="b">
        <f t="shared" si="1"/>
        <v>1</v>
      </c>
      <c r="V142" t="b">
        <f t="shared" si="2"/>
        <v>0</v>
      </c>
      <c r="W142" t="b">
        <f t="shared" si="3"/>
        <v>0</v>
      </c>
      <c r="X142" t="s">
        <v>748</v>
      </c>
    </row>
    <row r="143" spans="1:24" x14ac:dyDescent="0.25">
      <c r="A143">
        <v>1</v>
      </c>
      <c r="B143" t="s">
        <v>21</v>
      </c>
      <c r="C143">
        <v>30545856</v>
      </c>
      <c r="D143" t="s">
        <v>142</v>
      </c>
      <c r="E143" t="b">
        <v>1</v>
      </c>
      <c r="F143" t="b">
        <v>1</v>
      </c>
      <c r="G143" t="s">
        <v>480</v>
      </c>
      <c r="H143" t="b">
        <v>0</v>
      </c>
      <c r="I143" t="b">
        <v>0</v>
      </c>
      <c r="J143" t="s">
        <v>1095</v>
      </c>
      <c r="K143" s="2">
        <v>0</v>
      </c>
      <c r="M143" t="s">
        <v>617</v>
      </c>
      <c r="Q143">
        <v>0</v>
      </c>
      <c r="R143">
        <v>0</v>
      </c>
      <c r="S143" t="b">
        <v>1</v>
      </c>
      <c r="T143" t="b">
        <f t="shared" si="0"/>
        <v>0</v>
      </c>
      <c r="U143" t="b">
        <f t="shared" si="1"/>
        <v>0</v>
      </c>
      <c r="V143" t="b">
        <f t="shared" si="2"/>
        <v>1</v>
      </c>
      <c r="W143" t="b">
        <f t="shared" si="3"/>
        <v>0</v>
      </c>
      <c r="X143" t="s">
        <v>727</v>
      </c>
    </row>
    <row r="144" spans="1:24" x14ac:dyDescent="0.25">
      <c r="A144">
        <v>1</v>
      </c>
      <c r="B144" t="s">
        <v>21</v>
      </c>
      <c r="C144">
        <v>30545856</v>
      </c>
      <c r="D144" t="s">
        <v>361</v>
      </c>
      <c r="E144" t="b">
        <v>1</v>
      </c>
      <c r="F144" t="b">
        <v>1</v>
      </c>
      <c r="G144" t="s">
        <v>480</v>
      </c>
      <c r="H144" t="b">
        <v>0</v>
      </c>
      <c r="I144" t="b">
        <v>0</v>
      </c>
      <c r="J144" t="s">
        <v>1098</v>
      </c>
      <c r="K144">
        <v>0</v>
      </c>
      <c r="L144" t="s">
        <v>595</v>
      </c>
      <c r="Q144">
        <v>0</v>
      </c>
      <c r="R144">
        <v>0</v>
      </c>
      <c r="S144" t="b">
        <v>0</v>
      </c>
      <c r="T144" t="b">
        <f t="shared" si="0"/>
        <v>0</v>
      </c>
      <c r="U144" t="b">
        <f t="shared" si="1"/>
        <v>1</v>
      </c>
      <c r="V144" t="b">
        <f t="shared" si="2"/>
        <v>0</v>
      </c>
      <c r="W144" t="b">
        <f t="shared" si="3"/>
        <v>0</v>
      </c>
      <c r="X144" t="s">
        <v>938</v>
      </c>
    </row>
    <row r="145" spans="1:24" x14ac:dyDescent="0.25">
      <c r="A145">
        <v>1</v>
      </c>
      <c r="B145" t="s">
        <v>21</v>
      </c>
      <c r="C145">
        <v>30545856</v>
      </c>
      <c r="D145" t="s">
        <v>187</v>
      </c>
      <c r="E145" t="b">
        <v>0</v>
      </c>
      <c r="F145" t="b">
        <v>1</v>
      </c>
      <c r="G145" t="s">
        <v>492</v>
      </c>
      <c r="H145" t="b">
        <v>0</v>
      </c>
      <c r="I145" t="b">
        <v>0</v>
      </c>
      <c r="J145" t="s">
        <v>1099</v>
      </c>
      <c r="K145">
        <v>0</v>
      </c>
      <c r="L145" t="s">
        <v>575</v>
      </c>
      <c r="M145" t="s">
        <v>631</v>
      </c>
      <c r="N145" t="s">
        <v>681</v>
      </c>
      <c r="Q145">
        <v>0</v>
      </c>
      <c r="R145">
        <v>0</v>
      </c>
      <c r="S145" t="b">
        <v>1</v>
      </c>
      <c r="T145" t="b">
        <f t="shared" si="0"/>
        <v>1</v>
      </c>
      <c r="U145" t="b">
        <f t="shared" si="1"/>
        <v>0</v>
      </c>
      <c r="V145" t="b">
        <f t="shared" si="2"/>
        <v>0</v>
      </c>
      <c r="W145" t="b">
        <f t="shared" si="3"/>
        <v>0</v>
      </c>
      <c r="X145" t="s">
        <v>772</v>
      </c>
    </row>
    <row r="146" spans="1:24" x14ac:dyDescent="0.25">
      <c r="A146">
        <v>1</v>
      </c>
      <c r="B146" t="s">
        <v>21</v>
      </c>
      <c r="C146">
        <v>30545856</v>
      </c>
      <c r="D146" t="s">
        <v>141</v>
      </c>
      <c r="E146" t="b">
        <v>1</v>
      </c>
      <c r="F146" t="b">
        <v>1</v>
      </c>
      <c r="G146" t="s">
        <v>480</v>
      </c>
      <c r="H146" t="b">
        <v>0</v>
      </c>
      <c r="I146" t="b">
        <v>0</v>
      </c>
      <c r="J146" t="s">
        <v>1095</v>
      </c>
      <c r="K146">
        <v>0</v>
      </c>
      <c r="M146" t="s">
        <v>616</v>
      </c>
      <c r="Q146">
        <v>0</v>
      </c>
      <c r="R146">
        <v>0</v>
      </c>
      <c r="S146" t="b">
        <v>0</v>
      </c>
      <c r="T146" t="b">
        <f t="shared" si="0"/>
        <v>0</v>
      </c>
      <c r="U146" t="b">
        <f t="shared" si="1"/>
        <v>1</v>
      </c>
      <c r="V146" t="b">
        <f t="shared" si="2"/>
        <v>0</v>
      </c>
      <c r="W146" t="b">
        <f t="shared" si="3"/>
        <v>0</v>
      </c>
      <c r="X146" t="s">
        <v>726</v>
      </c>
    </row>
    <row r="147" spans="1:24" x14ac:dyDescent="0.25">
      <c r="A147">
        <v>1</v>
      </c>
      <c r="B147" t="s">
        <v>21</v>
      </c>
      <c r="C147">
        <v>30545856</v>
      </c>
      <c r="D147" t="s">
        <v>300</v>
      </c>
      <c r="E147" t="b">
        <v>1</v>
      </c>
      <c r="F147" t="b">
        <v>1</v>
      </c>
      <c r="G147" t="s">
        <v>488</v>
      </c>
      <c r="H147" t="b">
        <v>0</v>
      </c>
      <c r="I147" t="b">
        <v>0</v>
      </c>
      <c r="J147" t="s">
        <v>1095</v>
      </c>
      <c r="K147">
        <v>0</v>
      </c>
      <c r="M147" t="s">
        <v>645</v>
      </c>
      <c r="O147" t="s">
        <v>1050</v>
      </c>
      <c r="Q147">
        <v>0</v>
      </c>
      <c r="R147">
        <v>0</v>
      </c>
      <c r="S147" t="b">
        <v>0</v>
      </c>
      <c r="T147" t="b">
        <f t="shared" si="0"/>
        <v>0</v>
      </c>
      <c r="U147" t="b">
        <f t="shared" si="1"/>
        <v>1</v>
      </c>
      <c r="V147" t="b">
        <f t="shared" si="2"/>
        <v>0</v>
      </c>
      <c r="W147" t="b">
        <f t="shared" si="3"/>
        <v>0</v>
      </c>
      <c r="X147" t="s">
        <v>878</v>
      </c>
    </row>
    <row r="148" spans="1:24" x14ac:dyDescent="0.25">
      <c r="A148">
        <v>1</v>
      </c>
      <c r="B148" t="s">
        <v>21</v>
      </c>
      <c r="C148">
        <v>30545856</v>
      </c>
      <c r="D148" t="s">
        <v>356</v>
      </c>
      <c r="E148" t="b">
        <v>1</v>
      </c>
      <c r="F148" t="b">
        <v>1</v>
      </c>
      <c r="G148" t="s">
        <v>532</v>
      </c>
      <c r="H148" t="b">
        <v>0</v>
      </c>
      <c r="I148" t="b">
        <v>0</v>
      </c>
      <c r="J148" t="s">
        <v>1095</v>
      </c>
      <c r="K148">
        <v>0</v>
      </c>
      <c r="M148" t="s">
        <v>617</v>
      </c>
      <c r="Q148">
        <v>0</v>
      </c>
      <c r="R148">
        <v>0</v>
      </c>
      <c r="S148" t="b">
        <v>0</v>
      </c>
      <c r="T148" t="b">
        <f t="shared" si="0"/>
        <v>0</v>
      </c>
      <c r="U148" t="b">
        <f t="shared" si="1"/>
        <v>1</v>
      </c>
      <c r="V148" t="b">
        <f t="shared" si="2"/>
        <v>0</v>
      </c>
      <c r="W148" t="b">
        <f t="shared" si="3"/>
        <v>0</v>
      </c>
      <c r="X148" t="s">
        <v>933</v>
      </c>
    </row>
    <row r="149" spans="1:24" x14ac:dyDescent="0.25">
      <c r="A149">
        <v>1</v>
      </c>
      <c r="B149" t="s">
        <v>21</v>
      </c>
      <c r="C149">
        <v>30545856</v>
      </c>
      <c r="D149" t="s">
        <v>165</v>
      </c>
      <c r="E149" t="b">
        <v>1</v>
      </c>
      <c r="F149" t="b">
        <v>1</v>
      </c>
      <c r="G149" t="s">
        <v>486</v>
      </c>
      <c r="H149" t="b">
        <v>0</v>
      </c>
      <c r="I149" t="b">
        <v>0</v>
      </c>
      <c r="J149" t="s">
        <v>1095</v>
      </c>
      <c r="K149">
        <v>0</v>
      </c>
      <c r="M149" t="s">
        <v>624</v>
      </c>
      <c r="Q149">
        <v>0</v>
      </c>
      <c r="R149">
        <v>0</v>
      </c>
      <c r="S149" t="b">
        <v>0</v>
      </c>
      <c r="T149" t="b">
        <f t="shared" si="0"/>
        <v>0</v>
      </c>
      <c r="U149" t="b">
        <f t="shared" si="1"/>
        <v>1</v>
      </c>
      <c r="V149" t="b">
        <f t="shared" si="2"/>
        <v>0</v>
      </c>
      <c r="W149" t="b">
        <f t="shared" si="3"/>
        <v>0</v>
      </c>
      <c r="X149" t="s">
        <v>750</v>
      </c>
    </row>
    <row r="150" spans="1:24" x14ac:dyDescent="0.25">
      <c r="A150">
        <v>1</v>
      </c>
      <c r="B150" t="s">
        <v>21</v>
      </c>
      <c r="C150">
        <v>30545856</v>
      </c>
      <c r="D150" t="s">
        <v>357</v>
      </c>
      <c r="E150" t="b">
        <v>1</v>
      </c>
      <c r="F150" t="b">
        <v>1</v>
      </c>
      <c r="G150" t="s">
        <v>532</v>
      </c>
      <c r="H150" t="b">
        <v>0</v>
      </c>
      <c r="I150" t="b">
        <v>0</v>
      </c>
      <c r="J150" t="s">
        <v>1095</v>
      </c>
      <c r="K150">
        <v>0</v>
      </c>
      <c r="M150" t="s">
        <v>652</v>
      </c>
      <c r="Q150">
        <v>0</v>
      </c>
      <c r="R150">
        <v>0</v>
      </c>
      <c r="S150" t="b">
        <v>0</v>
      </c>
      <c r="T150" t="b">
        <f t="shared" ref="T150:T213" si="4">AND(S150,NOT(E150))</f>
        <v>0</v>
      </c>
      <c r="U150" t="b">
        <f t="shared" ref="U150:U213" si="5">AND(E150,NOT(S150))</f>
        <v>1</v>
      </c>
      <c r="V150" t="b">
        <f t="shared" ref="V150:V213" si="6">AND(S150,E150)</f>
        <v>0</v>
      </c>
      <c r="W150" t="b">
        <f t="shared" ref="W150:W213" si="7">AND(NOT(S150),NOT(E150))</f>
        <v>0</v>
      </c>
      <c r="X150" t="s">
        <v>934</v>
      </c>
    </row>
    <row r="151" spans="1:24" x14ac:dyDescent="0.25">
      <c r="A151">
        <v>1</v>
      </c>
      <c r="B151" t="s">
        <v>21</v>
      </c>
      <c r="C151">
        <v>30545856</v>
      </c>
      <c r="D151" t="s">
        <v>162</v>
      </c>
      <c r="E151" t="b">
        <v>1</v>
      </c>
      <c r="F151" t="b">
        <v>1</v>
      </c>
      <c r="G151" t="s">
        <v>485</v>
      </c>
      <c r="H151" t="b">
        <v>0</v>
      </c>
      <c r="I151" t="b">
        <v>0</v>
      </c>
      <c r="J151" t="s">
        <v>1100</v>
      </c>
      <c r="K151" s="2">
        <v>0</v>
      </c>
      <c r="L151" t="s">
        <v>11</v>
      </c>
      <c r="M151" t="s">
        <v>623</v>
      </c>
      <c r="N151" t="s">
        <v>672</v>
      </c>
      <c r="Q151">
        <v>0</v>
      </c>
      <c r="R151">
        <v>0</v>
      </c>
      <c r="S151" t="b">
        <v>1</v>
      </c>
      <c r="T151" t="b">
        <f t="shared" si="4"/>
        <v>0</v>
      </c>
      <c r="U151" t="b">
        <f t="shared" si="5"/>
        <v>0</v>
      </c>
      <c r="V151" t="b">
        <f t="shared" si="6"/>
        <v>1</v>
      </c>
      <c r="W151" t="b">
        <f t="shared" si="7"/>
        <v>0</v>
      </c>
      <c r="X151" t="s">
        <v>747</v>
      </c>
    </row>
    <row r="152" spans="1:24" x14ac:dyDescent="0.25">
      <c r="A152">
        <v>1</v>
      </c>
      <c r="B152" t="s">
        <v>21</v>
      </c>
      <c r="C152">
        <v>30545856</v>
      </c>
      <c r="D152" t="s">
        <v>140</v>
      </c>
      <c r="E152" t="b">
        <v>0</v>
      </c>
      <c r="F152" t="b">
        <v>1</v>
      </c>
      <c r="G152" t="s">
        <v>480</v>
      </c>
      <c r="H152" t="b">
        <v>0</v>
      </c>
      <c r="I152" t="b">
        <v>0</v>
      </c>
      <c r="J152" t="s">
        <v>1093</v>
      </c>
      <c r="K152" s="2">
        <v>0</v>
      </c>
      <c r="L152" t="s">
        <v>563</v>
      </c>
      <c r="M152" t="s">
        <v>615</v>
      </c>
      <c r="N152" t="s">
        <v>669</v>
      </c>
      <c r="Q152">
        <v>0</v>
      </c>
      <c r="R152">
        <v>0</v>
      </c>
      <c r="S152" t="b">
        <v>1</v>
      </c>
      <c r="T152" t="b">
        <f t="shared" si="4"/>
        <v>1</v>
      </c>
      <c r="U152" t="b">
        <f t="shared" si="5"/>
        <v>0</v>
      </c>
      <c r="V152" t="b">
        <f t="shared" si="6"/>
        <v>0</v>
      </c>
      <c r="W152" t="b">
        <f t="shared" si="7"/>
        <v>0</v>
      </c>
      <c r="X152" t="s">
        <v>725</v>
      </c>
    </row>
    <row r="153" spans="1:24" x14ac:dyDescent="0.25">
      <c r="A153">
        <v>1</v>
      </c>
      <c r="B153" t="s">
        <v>21</v>
      </c>
      <c r="C153">
        <v>30545856</v>
      </c>
      <c r="D153" t="s">
        <v>362</v>
      </c>
      <c r="E153" t="b">
        <v>1</v>
      </c>
      <c r="F153" t="b">
        <v>1</v>
      </c>
      <c r="G153" t="s">
        <v>480</v>
      </c>
      <c r="H153" t="b">
        <v>0</v>
      </c>
      <c r="I153" t="b">
        <v>0</v>
      </c>
      <c r="J153" t="s">
        <v>1095</v>
      </c>
      <c r="K153">
        <v>0</v>
      </c>
      <c r="L153" t="s">
        <v>584</v>
      </c>
      <c r="Q153">
        <v>0</v>
      </c>
      <c r="R153">
        <v>0</v>
      </c>
      <c r="S153" t="b">
        <v>0</v>
      </c>
      <c r="T153" t="b">
        <f t="shared" si="4"/>
        <v>0</v>
      </c>
      <c r="U153" t="b">
        <f t="shared" si="5"/>
        <v>1</v>
      </c>
      <c r="V153" t="b">
        <f t="shared" si="6"/>
        <v>0</v>
      </c>
      <c r="W153" t="b">
        <f t="shared" si="7"/>
        <v>0</v>
      </c>
      <c r="X153" t="s">
        <v>939</v>
      </c>
    </row>
    <row r="154" spans="1:24" x14ac:dyDescent="0.25">
      <c r="A154">
        <v>1</v>
      </c>
      <c r="B154" t="s">
        <v>21</v>
      </c>
      <c r="C154">
        <v>30545856</v>
      </c>
      <c r="D154" t="s">
        <v>166</v>
      </c>
      <c r="E154" t="b">
        <v>0</v>
      </c>
      <c r="F154" t="b">
        <v>1</v>
      </c>
      <c r="G154" t="s">
        <v>487</v>
      </c>
      <c r="H154" t="b">
        <v>0</v>
      </c>
      <c r="I154" t="b">
        <v>0</v>
      </c>
      <c r="J154" t="s">
        <v>1093</v>
      </c>
      <c r="K154" s="2">
        <v>0</v>
      </c>
      <c r="L154" t="s">
        <v>567</v>
      </c>
      <c r="M154" t="s">
        <v>617</v>
      </c>
      <c r="N154" t="s">
        <v>674</v>
      </c>
      <c r="O154" t="s">
        <v>674</v>
      </c>
      <c r="Q154">
        <v>0</v>
      </c>
      <c r="R154">
        <v>0</v>
      </c>
      <c r="S154" t="b">
        <v>1</v>
      </c>
      <c r="T154" t="b">
        <f t="shared" si="4"/>
        <v>1</v>
      </c>
      <c r="U154" t="b">
        <f t="shared" si="5"/>
        <v>0</v>
      </c>
      <c r="V154" t="b">
        <f t="shared" si="6"/>
        <v>0</v>
      </c>
      <c r="W154" t="b">
        <f t="shared" si="7"/>
        <v>0</v>
      </c>
      <c r="X154" t="s">
        <v>751</v>
      </c>
    </row>
    <row r="155" spans="1:24" x14ac:dyDescent="0.25">
      <c r="A155">
        <v>1</v>
      </c>
      <c r="B155" t="s">
        <v>21</v>
      </c>
      <c r="C155">
        <v>30545856</v>
      </c>
      <c r="D155" t="s">
        <v>180</v>
      </c>
      <c r="E155" t="b">
        <v>1</v>
      </c>
      <c r="F155" t="b">
        <v>1</v>
      </c>
      <c r="G155" t="s">
        <v>492</v>
      </c>
      <c r="H155" t="b">
        <v>0</v>
      </c>
      <c r="I155" t="b">
        <v>0</v>
      </c>
      <c r="J155" t="s">
        <v>1095</v>
      </c>
      <c r="K155">
        <v>0</v>
      </c>
      <c r="L155" t="s">
        <v>568</v>
      </c>
      <c r="M155" t="s">
        <v>614</v>
      </c>
      <c r="Q155">
        <v>0</v>
      </c>
      <c r="R155">
        <v>0</v>
      </c>
      <c r="S155" t="b">
        <v>0</v>
      </c>
      <c r="T155" t="b">
        <f t="shared" si="4"/>
        <v>0</v>
      </c>
      <c r="U155" t="b">
        <f t="shared" si="5"/>
        <v>1</v>
      </c>
      <c r="V155" t="b">
        <f t="shared" si="6"/>
        <v>0</v>
      </c>
      <c r="W155" t="b">
        <f t="shared" si="7"/>
        <v>0</v>
      </c>
      <c r="X155" t="s">
        <v>765</v>
      </c>
    </row>
    <row r="156" spans="1:24" x14ac:dyDescent="0.25">
      <c r="A156">
        <v>1</v>
      </c>
      <c r="B156" t="s">
        <v>21</v>
      </c>
      <c r="C156">
        <v>30545856</v>
      </c>
      <c r="D156" t="s">
        <v>179</v>
      </c>
      <c r="E156" t="b">
        <v>1</v>
      </c>
      <c r="F156" t="b">
        <v>1</v>
      </c>
      <c r="G156" t="s">
        <v>492</v>
      </c>
      <c r="H156" t="b">
        <v>0</v>
      </c>
      <c r="I156" t="b">
        <v>0</v>
      </c>
      <c r="J156" t="s">
        <v>1095</v>
      </c>
      <c r="K156">
        <v>0</v>
      </c>
      <c r="L156" t="s">
        <v>568</v>
      </c>
      <c r="M156" t="s">
        <v>629</v>
      </c>
      <c r="Q156">
        <v>0</v>
      </c>
      <c r="R156">
        <v>0</v>
      </c>
      <c r="S156" t="b">
        <v>0</v>
      </c>
      <c r="T156" t="b">
        <f t="shared" si="4"/>
        <v>0</v>
      </c>
      <c r="U156" t="b">
        <f t="shared" si="5"/>
        <v>1</v>
      </c>
      <c r="V156" t="b">
        <f t="shared" si="6"/>
        <v>0</v>
      </c>
      <c r="W156" t="b">
        <f t="shared" si="7"/>
        <v>0</v>
      </c>
      <c r="X156" t="s">
        <v>764</v>
      </c>
    </row>
    <row r="157" spans="1:24" x14ac:dyDescent="0.25">
      <c r="A157">
        <v>1</v>
      </c>
      <c r="B157" t="s">
        <v>21</v>
      </c>
      <c r="C157">
        <v>30545856</v>
      </c>
      <c r="D157" t="s">
        <v>304</v>
      </c>
      <c r="E157" t="b">
        <v>1</v>
      </c>
      <c r="F157" t="b">
        <v>1</v>
      </c>
      <c r="G157" t="s">
        <v>488</v>
      </c>
      <c r="H157" t="b">
        <v>0</v>
      </c>
      <c r="I157" t="b">
        <v>0</v>
      </c>
      <c r="J157" t="s">
        <v>1095</v>
      </c>
      <c r="K157" s="3">
        <v>1</v>
      </c>
      <c r="M157" t="s">
        <v>646</v>
      </c>
      <c r="O157" t="s">
        <v>1051</v>
      </c>
      <c r="Q157">
        <v>0</v>
      </c>
      <c r="R157">
        <v>0</v>
      </c>
      <c r="S157" t="b">
        <v>0</v>
      </c>
      <c r="T157" t="b">
        <f t="shared" si="4"/>
        <v>0</v>
      </c>
      <c r="U157" t="b">
        <f t="shared" si="5"/>
        <v>1</v>
      </c>
      <c r="V157" t="b">
        <f t="shared" si="6"/>
        <v>0</v>
      </c>
      <c r="W157" t="b">
        <f t="shared" si="7"/>
        <v>0</v>
      </c>
      <c r="X157" t="s">
        <v>882</v>
      </c>
    </row>
    <row r="158" spans="1:24" x14ac:dyDescent="0.25">
      <c r="A158">
        <v>1</v>
      </c>
      <c r="B158" t="s">
        <v>21</v>
      </c>
      <c r="C158">
        <v>30545856</v>
      </c>
      <c r="D158" t="s">
        <v>167</v>
      </c>
      <c r="E158" t="b">
        <v>1</v>
      </c>
      <c r="F158" t="b">
        <v>1</v>
      </c>
      <c r="G158" t="s">
        <v>487</v>
      </c>
      <c r="H158" t="b">
        <v>0</v>
      </c>
      <c r="I158" t="b">
        <v>0</v>
      </c>
      <c r="J158" t="s">
        <v>1095</v>
      </c>
      <c r="K158">
        <v>0</v>
      </c>
      <c r="M158" t="s">
        <v>617</v>
      </c>
      <c r="Q158">
        <v>0</v>
      </c>
      <c r="R158">
        <v>0</v>
      </c>
      <c r="S158" t="b">
        <v>0</v>
      </c>
      <c r="T158" t="b">
        <f t="shared" si="4"/>
        <v>0</v>
      </c>
      <c r="U158" t="b">
        <f t="shared" si="5"/>
        <v>1</v>
      </c>
      <c r="V158" t="b">
        <f t="shared" si="6"/>
        <v>0</v>
      </c>
      <c r="W158" t="b">
        <f t="shared" si="7"/>
        <v>0</v>
      </c>
      <c r="X158" t="s">
        <v>752</v>
      </c>
    </row>
    <row r="159" spans="1:24" x14ac:dyDescent="0.25">
      <c r="A159">
        <v>1</v>
      </c>
      <c r="B159" t="s">
        <v>21</v>
      </c>
      <c r="C159">
        <v>30545856</v>
      </c>
      <c r="D159" t="s">
        <v>316</v>
      </c>
      <c r="E159" t="b">
        <v>1</v>
      </c>
      <c r="F159" t="b">
        <v>1</v>
      </c>
      <c r="G159" t="s">
        <v>492</v>
      </c>
      <c r="H159" t="b">
        <v>0</v>
      </c>
      <c r="I159" t="b">
        <v>0</v>
      </c>
      <c r="J159" t="s">
        <v>1095</v>
      </c>
      <c r="K159">
        <v>0</v>
      </c>
      <c r="L159" t="s">
        <v>591</v>
      </c>
      <c r="M159" t="s">
        <v>631</v>
      </c>
      <c r="O159" t="s">
        <v>1052</v>
      </c>
      <c r="Q159">
        <v>0</v>
      </c>
      <c r="R159">
        <v>0</v>
      </c>
      <c r="S159" t="b">
        <v>0</v>
      </c>
      <c r="T159" t="b">
        <f t="shared" si="4"/>
        <v>0</v>
      </c>
      <c r="U159" t="b">
        <f t="shared" si="5"/>
        <v>1</v>
      </c>
      <c r="V159" t="b">
        <f t="shared" si="6"/>
        <v>0</v>
      </c>
      <c r="W159" t="b">
        <f t="shared" si="7"/>
        <v>0</v>
      </c>
      <c r="X159" t="s">
        <v>894</v>
      </c>
    </row>
    <row r="160" spans="1:24" x14ac:dyDescent="0.25">
      <c r="A160">
        <v>1</v>
      </c>
      <c r="B160" t="s">
        <v>21</v>
      </c>
      <c r="C160">
        <v>30545856</v>
      </c>
      <c r="D160" t="s">
        <v>143</v>
      </c>
      <c r="E160" t="b">
        <v>1</v>
      </c>
      <c r="F160" t="b">
        <v>1</v>
      </c>
      <c r="G160" t="s">
        <v>480</v>
      </c>
      <c r="H160" t="b">
        <v>0</v>
      </c>
      <c r="I160" t="b">
        <v>0</v>
      </c>
      <c r="J160" t="s">
        <v>1095</v>
      </c>
      <c r="K160">
        <v>0</v>
      </c>
      <c r="M160" t="s">
        <v>617</v>
      </c>
      <c r="O160" t="s">
        <v>1053</v>
      </c>
      <c r="Q160">
        <v>0</v>
      </c>
      <c r="R160">
        <v>0</v>
      </c>
      <c r="S160" t="b">
        <v>0</v>
      </c>
      <c r="T160" t="b">
        <f t="shared" si="4"/>
        <v>0</v>
      </c>
      <c r="U160" t="b">
        <f t="shared" si="5"/>
        <v>1</v>
      </c>
      <c r="V160" t="b">
        <f t="shared" si="6"/>
        <v>0</v>
      </c>
      <c r="W160" t="b">
        <f t="shared" si="7"/>
        <v>0</v>
      </c>
      <c r="X160" t="s">
        <v>728</v>
      </c>
    </row>
    <row r="161" spans="1:24" x14ac:dyDescent="0.25">
      <c r="A161">
        <v>1</v>
      </c>
      <c r="B161" t="s">
        <v>21</v>
      </c>
      <c r="C161">
        <v>30545856</v>
      </c>
      <c r="D161" t="s">
        <v>358</v>
      </c>
      <c r="E161" t="b">
        <v>1</v>
      </c>
      <c r="F161" t="b">
        <v>1</v>
      </c>
      <c r="G161" t="s">
        <v>532</v>
      </c>
      <c r="H161" t="b">
        <v>0</v>
      </c>
      <c r="I161" t="b">
        <v>0</v>
      </c>
      <c r="J161" t="s">
        <v>1095</v>
      </c>
      <c r="K161" s="3">
        <v>5</v>
      </c>
      <c r="Q161">
        <v>0</v>
      </c>
      <c r="R161">
        <v>0</v>
      </c>
      <c r="S161" t="b">
        <v>0</v>
      </c>
      <c r="T161" t="b">
        <f t="shared" si="4"/>
        <v>0</v>
      </c>
      <c r="U161" t="b">
        <f t="shared" si="5"/>
        <v>1</v>
      </c>
      <c r="V161" t="b">
        <f t="shared" si="6"/>
        <v>0</v>
      </c>
      <c r="W161" t="b">
        <f t="shared" si="7"/>
        <v>0</v>
      </c>
      <c r="X161" t="s">
        <v>935</v>
      </c>
    </row>
    <row r="162" spans="1:24" x14ac:dyDescent="0.25">
      <c r="A162">
        <v>1</v>
      </c>
      <c r="B162" t="s">
        <v>21</v>
      </c>
      <c r="C162">
        <v>30545856</v>
      </c>
      <c r="D162" t="s">
        <v>355</v>
      </c>
      <c r="E162" t="b">
        <v>1</v>
      </c>
      <c r="F162" t="b">
        <v>1</v>
      </c>
      <c r="G162" t="s">
        <v>485</v>
      </c>
      <c r="H162" t="b">
        <v>0</v>
      </c>
      <c r="I162" t="b">
        <v>0</v>
      </c>
      <c r="J162" t="s">
        <v>1095</v>
      </c>
      <c r="K162">
        <v>6</v>
      </c>
      <c r="M162" t="s">
        <v>644</v>
      </c>
      <c r="Q162">
        <v>0</v>
      </c>
      <c r="R162">
        <v>0</v>
      </c>
      <c r="S162" t="b">
        <v>0</v>
      </c>
      <c r="T162" t="b">
        <f t="shared" si="4"/>
        <v>0</v>
      </c>
      <c r="U162" t="b">
        <f t="shared" si="5"/>
        <v>1</v>
      </c>
      <c r="V162" t="b">
        <f t="shared" si="6"/>
        <v>0</v>
      </c>
      <c r="W162" t="b">
        <f t="shared" si="7"/>
        <v>0</v>
      </c>
      <c r="X162" t="s">
        <v>932</v>
      </c>
    </row>
    <row r="163" spans="1:24" x14ac:dyDescent="0.25">
      <c r="A163">
        <v>1</v>
      </c>
      <c r="B163" t="s">
        <v>21</v>
      </c>
      <c r="C163">
        <v>30545856</v>
      </c>
      <c r="D163" t="s">
        <v>160</v>
      </c>
      <c r="E163" t="b">
        <v>1</v>
      </c>
      <c r="F163" t="b">
        <v>1</v>
      </c>
      <c r="G163" t="s">
        <v>484</v>
      </c>
      <c r="H163" t="b">
        <v>0</v>
      </c>
      <c r="I163" t="b">
        <v>0</v>
      </c>
      <c r="J163" t="s">
        <v>1095</v>
      </c>
      <c r="K163">
        <v>6</v>
      </c>
      <c r="Q163">
        <v>0</v>
      </c>
      <c r="R163">
        <v>0</v>
      </c>
      <c r="S163" t="b">
        <v>0</v>
      </c>
      <c r="T163" t="b">
        <f t="shared" si="4"/>
        <v>0</v>
      </c>
      <c r="U163" t="b">
        <f t="shared" si="5"/>
        <v>1</v>
      </c>
      <c r="V163" t="b">
        <f t="shared" si="6"/>
        <v>0</v>
      </c>
      <c r="W163" t="b">
        <f t="shared" si="7"/>
        <v>0</v>
      </c>
      <c r="X163" t="s">
        <v>745</v>
      </c>
    </row>
    <row r="164" spans="1:24" x14ac:dyDescent="0.25">
      <c r="A164">
        <v>1</v>
      </c>
      <c r="B164" t="s">
        <v>21</v>
      </c>
      <c r="C164">
        <v>30545856</v>
      </c>
      <c r="D164" t="s">
        <v>378</v>
      </c>
      <c r="E164" t="b">
        <v>1</v>
      </c>
      <c r="F164" t="b">
        <v>1</v>
      </c>
      <c r="G164" t="s">
        <v>536</v>
      </c>
      <c r="H164" t="b">
        <v>0</v>
      </c>
      <c r="I164" t="b">
        <v>0</v>
      </c>
      <c r="J164" t="s">
        <v>1095</v>
      </c>
      <c r="K164">
        <v>3</v>
      </c>
      <c r="Q164">
        <v>0</v>
      </c>
      <c r="R164">
        <v>0</v>
      </c>
      <c r="S164" t="b">
        <v>0</v>
      </c>
      <c r="T164" t="b">
        <f t="shared" si="4"/>
        <v>0</v>
      </c>
      <c r="U164" t="b">
        <f t="shared" si="5"/>
        <v>1</v>
      </c>
      <c r="V164" t="b">
        <f t="shared" si="6"/>
        <v>0</v>
      </c>
      <c r="W164" t="b">
        <f t="shared" si="7"/>
        <v>0</v>
      </c>
      <c r="X164" t="s">
        <v>955</v>
      </c>
    </row>
    <row r="165" spans="1:24" x14ac:dyDescent="0.25">
      <c r="A165">
        <v>1</v>
      </c>
      <c r="B165" t="s">
        <v>21</v>
      </c>
      <c r="C165">
        <v>30545856</v>
      </c>
      <c r="D165" t="s">
        <v>170</v>
      </c>
      <c r="E165" t="b">
        <v>1</v>
      </c>
      <c r="F165" t="b">
        <v>1</v>
      </c>
      <c r="G165" t="s">
        <v>488</v>
      </c>
      <c r="H165" t="b">
        <v>0</v>
      </c>
      <c r="I165" t="b">
        <v>0</v>
      </c>
      <c r="J165" t="s">
        <v>1100</v>
      </c>
      <c r="K165">
        <v>0</v>
      </c>
      <c r="L165" t="s">
        <v>568</v>
      </c>
      <c r="Q165">
        <v>0</v>
      </c>
      <c r="R165">
        <v>0</v>
      </c>
      <c r="S165" t="b">
        <v>0</v>
      </c>
      <c r="T165" t="b">
        <f t="shared" si="4"/>
        <v>0</v>
      </c>
      <c r="U165" t="b">
        <f t="shared" si="5"/>
        <v>1</v>
      </c>
      <c r="V165" t="b">
        <f t="shared" si="6"/>
        <v>0</v>
      </c>
      <c r="W165" t="b">
        <f t="shared" si="7"/>
        <v>0</v>
      </c>
      <c r="X165" t="s">
        <v>755</v>
      </c>
    </row>
    <row r="166" spans="1:24" x14ac:dyDescent="0.25">
      <c r="A166">
        <v>1</v>
      </c>
      <c r="B166" t="s">
        <v>21</v>
      </c>
      <c r="C166">
        <v>30545856</v>
      </c>
      <c r="D166" t="s">
        <v>359</v>
      </c>
      <c r="E166" t="b">
        <v>1</v>
      </c>
      <c r="F166" t="b">
        <v>1</v>
      </c>
      <c r="G166" t="s">
        <v>480</v>
      </c>
      <c r="H166" t="b">
        <v>0</v>
      </c>
      <c r="I166" t="b">
        <v>0</v>
      </c>
      <c r="J166" t="s">
        <v>1100</v>
      </c>
      <c r="K166">
        <v>0</v>
      </c>
      <c r="L166" t="s">
        <v>568</v>
      </c>
      <c r="M166" t="s">
        <v>653</v>
      </c>
      <c r="Q166">
        <v>0</v>
      </c>
      <c r="R166">
        <v>0</v>
      </c>
      <c r="S166" t="b">
        <v>0</v>
      </c>
      <c r="T166" t="b">
        <f t="shared" si="4"/>
        <v>0</v>
      </c>
      <c r="U166" t="b">
        <f t="shared" si="5"/>
        <v>1</v>
      </c>
      <c r="V166" t="b">
        <f t="shared" si="6"/>
        <v>0</v>
      </c>
      <c r="W166" t="b">
        <f t="shared" si="7"/>
        <v>0</v>
      </c>
      <c r="X166" t="s">
        <v>936</v>
      </c>
    </row>
    <row r="167" spans="1:24" x14ac:dyDescent="0.25">
      <c r="A167">
        <v>1</v>
      </c>
      <c r="B167" t="s">
        <v>21</v>
      </c>
      <c r="C167">
        <v>30545856</v>
      </c>
      <c r="D167" t="s">
        <v>159</v>
      </c>
      <c r="E167" t="b">
        <v>1</v>
      </c>
      <c r="F167" t="b">
        <v>1</v>
      </c>
      <c r="G167" t="s">
        <v>484</v>
      </c>
      <c r="H167" t="b">
        <v>0</v>
      </c>
      <c r="I167" t="b">
        <v>0</v>
      </c>
      <c r="J167" t="s">
        <v>1095</v>
      </c>
      <c r="K167">
        <v>0</v>
      </c>
      <c r="M167" t="s">
        <v>614</v>
      </c>
      <c r="O167" t="s">
        <v>1054</v>
      </c>
      <c r="Q167">
        <v>0</v>
      </c>
      <c r="R167">
        <v>0</v>
      </c>
      <c r="S167" t="b">
        <v>0</v>
      </c>
      <c r="T167" t="b">
        <f t="shared" si="4"/>
        <v>0</v>
      </c>
      <c r="U167" t="b">
        <f t="shared" si="5"/>
        <v>1</v>
      </c>
      <c r="V167" t="b">
        <f t="shared" si="6"/>
        <v>0</v>
      </c>
      <c r="W167" t="b">
        <f t="shared" si="7"/>
        <v>0</v>
      </c>
      <c r="X167" t="s">
        <v>744</v>
      </c>
    </row>
    <row r="168" spans="1:24" x14ac:dyDescent="0.25">
      <c r="A168">
        <v>1</v>
      </c>
      <c r="B168" t="s">
        <v>21</v>
      </c>
      <c r="C168">
        <v>30545856</v>
      </c>
      <c r="D168" t="s">
        <v>158</v>
      </c>
      <c r="E168" t="b">
        <v>1</v>
      </c>
      <c r="F168" t="b">
        <v>1</v>
      </c>
      <c r="G168" t="s">
        <v>484</v>
      </c>
      <c r="H168" t="b">
        <v>0</v>
      </c>
      <c r="I168" t="b">
        <v>0</v>
      </c>
      <c r="J168" t="s">
        <v>1095</v>
      </c>
      <c r="K168">
        <v>0</v>
      </c>
      <c r="M168" t="s">
        <v>622</v>
      </c>
      <c r="Q168">
        <v>0</v>
      </c>
      <c r="R168">
        <v>0</v>
      </c>
      <c r="S168" t="b">
        <v>0</v>
      </c>
      <c r="T168" t="b">
        <f t="shared" si="4"/>
        <v>0</v>
      </c>
      <c r="U168" t="b">
        <f t="shared" si="5"/>
        <v>1</v>
      </c>
      <c r="V168" t="b">
        <f t="shared" si="6"/>
        <v>0</v>
      </c>
      <c r="W168" t="b">
        <f t="shared" si="7"/>
        <v>0</v>
      </c>
      <c r="X168" t="s">
        <v>743</v>
      </c>
    </row>
    <row r="169" spans="1:24" x14ac:dyDescent="0.25">
      <c r="A169">
        <v>1</v>
      </c>
      <c r="B169" t="s">
        <v>21</v>
      </c>
      <c r="C169">
        <v>30545856</v>
      </c>
      <c r="D169" t="s">
        <v>157</v>
      </c>
      <c r="E169" t="b">
        <v>1</v>
      </c>
      <c r="F169" t="b">
        <v>1</v>
      </c>
      <c r="G169" t="s">
        <v>484</v>
      </c>
      <c r="H169" t="b">
        <v>0</v>
      </c>
      <c r="I169" t="b">
        <v>0</v>
      </c>
      <c r="J169" t="s">
        <v>1095</v>
      </c>
      <c r="K169">
        <v>0</v>
      </c>
      <c r="Q169">
        <v>0</v>
      </c>
      <c r="R169">
        <v>0</v>
      </c>
      <c r="S169" t="b">
        <v>0</v>
      </c>
      <c r="T169" t="b">
        <f t="shared" si="4"/>
        <v>0</v>
      </c>
      <c r="U169" t="b">
        <f t="shared" si="5"/>
        <v>1</v>
      </c>
      <c r="V169" t="b">
        <f t="shared" si="6"/>
        <v>0</v>
      </c>
      <c r="W169" t="b">
        <f t="shared" si="7"/>
        <v>0</v>
      </c>
      <c r="X169" t="s">
        <v>742</v>
      </c>
    </row>
    <row r="170" spans="1:24" x14ac:dyDescent="0.25">
      <c r="A170">
        <v>1</v>
      </c>
      <c r="B170" t="s">
        <v>21</v>
      </c>
      <c r="C170">
        <v>30545856</v>
      </c>
      <c r="D170" t="s">
        <v>156</v>
      </c>
      <c r="E170" t="b">
        <v>1</v>
      </c>
      <c r="F170" t="b">
        <v>1</v>
      </c>
      <c r="G170" t="s">
        <v>484</v>
      </c>
      <c r="H170" t="b">
        <v>0</v>
      </c>
      <c r="I170" t="b">
        <v>0</v>
      </c>
      <c r="J170" t="s">
        <v>1095</v>
      </c>
      <c r="K170">
        <v>0</v>
      </c>
      <c r="Q170">
        <v>0</v>
      </c>
      <c r="R170">
        <v>0</v>
      </c>
      <c r="S170" t="b">
        <v>0</v>
      </c>
      <c r="T170" t="b">
        <f t="shared" si="4"/>
        <v>0</v>
      </c>
      <c r="U170" t="b">
        <f t="shared" si="5"/>
        <v>1</v>
      </c>
      <c r="V170" t="b">
        <f t="shared" si="6"/>
        <v>0</v>
      </c>
      <c r="W170" t="b">
        <f t="shared" si="7"/>
        <v>0</v>
      </c>
      <c r="X170" t="s">
        <v>741</v>
      </c>
    </row>
    <row r="171" spans="1:24" x14ac:dyDescent="0.25">
      <c r="A171">
        <v>1</v>
      </c>
      <c r="B171" t="s">
        <v>21</v>
      </c>
      <c r="C171">
        <v>30545856</v>
      </c>
      <c r="D171" t="s">
        <v>377</v>
      </c>
      <c r="E171" t="b">
        <v>1</v>
      </c>
      <c r="F171" t="b">
        <v>1</v>
      </c>
      <c r="G171" t="s">
        <v>536</v>
      </c>
      <c r="H171" t="b">
        <v>0</v>
      </c>
      <c r="I171" t="b">
        <v>0</v>
      </c>
      <c r="J171" t="s">
        <v>1095</v>
      </c>
      <c r="K171">
        <v>0</v>
      </c>
      <c r="O171" t="s">
        <v>1055</v>
      </c>
      <c r="Q171">
        <v>0</v>
      </c>
      <c r="R171">
        <v>0</v>
      </c>
      <c r="S171" t="b">
        <v>0</v>
      </c>
      <c r="T171" t="b">
        <f t="shared" si="4"/>
        <v>0</v>
      </c>
      <c r="U171" t="b">
        <f t="shared" si="5"/>
        <v>1</v>
      </c>
      <c r="V171" t="b">
        <f t="shared" si="6"/>
        <v>0</v>
      </c>
      <c r="W171" t="b">
        <f t="shared" si="7"/>
        <v>0</v>
      </c>
      <c r="X171" t="s">
        <v>954</v>
      </c>
    </row>
    <row r="172" spans="1:24" x14ac:dyDescent="0.25">
      <c r="A172">
        <v>1</v>
      </c>
      <c r="B172" t="s">
        <v>21</v>
      </c>
      <c r="C172">
        <v>30545856</v>
      </c>
      <c r="D172" t="s">
        <v>376</v>
      </c>
      <c r="E172" t="b">
        <v>1</v>
      </c>
      <c r="F172" t="b">
        <v>1</v>
      </c>
      <c r="G172" t="s">
        <v>536</v>
      </c>
      <c r="H172" t="b">
        <v>0</v>
      </c>
      <c r="I172" t="b">
        <v>0</v>
      </c>
      <c r="J172" t="s">
        <v>1095</v>
      </c>
      <c r="K172">
        <v>0</v>
      </c>
      <c r="M172" t="s">
        <v>655</v>
      </c>
      <c r="Q172">
        <v>0</v>
      </c>
      <c r="R172">
        <v>0</v>
      </c>
      <c r="S172" t="b">
        <v>0</v>
      </c>
      <c r="T172" t="b">
        <f t="shared" si="4"/>
        <v>0</v>
      </c>
      <c r="U172" t="b">
        <f t="shared" si="5"/>
        <v>1</v>
      </c>
      <c r="V172" t="b">
        <f t="shared" si="6"/>
        <v>0</v>
      </c>
      <c r="W172" t="b">
        <f t="shared" si="7"/>
        <v>0</v>
      </c>
      <c r="X172" t="s">
        <v>953</v>
      </c>
    </row>
    <row r="173" spans="1:24" x14ac:dyDescent="0.25">
      <c r="A173">
        <v>1</v>
      </c>
      <c r="B173" t="s">
        <v>21</v>
      </c>
      <c r="C173">
        <v>30545856</v>
      </c>
      <c r="D173" t="s">
        <v>318</v>
      </c>
      <c r="E173" t="b">
        <v>1</v>
      </c>
      <c r="F173" t="b">
        <v>1</v>
      </c>
      <c r="G173" t="s">
        <v>486</v>
      </c>
      <c r="H173" t="b">
        <v>0</v>
      </c>
      <c r="I173" t="b">
        <v>0</v>
      </c>
      <c r="J173" t="s">
        <v>1095</v>
      </c>
      <c r="K173">
        <v>0</v>
      </c>
      <c r="M173" t="s">
        <v>648</v>
      </c>
      <c r="Q173">
        <v>0</v>
      </c>
      <c r="R173">
        <v>0</v>
      </c>
      <c r="S173" t="b">
        <v>0</v>
      </c>
      <c r="T173" t="b">
        <f t="shared" si="4"/>
        <v>0</v>
      </c>
      <c r="U173" t="b">
        <f t="shared" si="5"/>
        <v>1</v>
      </c>
      <c r="V173" t="b">
        <f t="shared" si="6"/>
        <v>0</v>
      </c>
      <c r="W173" t="b">
        <f t="shared" si="7"/>
        <v>0</v>
      </c>
      <c r="X173" t="s">
        <v>896</v>
      </c>
    </row>
    <row r="174" spans="1:24" x14ac:dyDescent="0.25">
      <c r="A174">
        <v>1</v>
      </c>
      <c r="B174" t="s">
        <v>21</v>
      </c>
      <c r="C174">
        <v>30545856</v>
      </c>
      <c r="D174" t="s">
        <v>317</v>
      </c>
      <c r="E174" t="b">
        <v>1</v>
      </c>
      <c r="F174" t="b">
        <v>1</v>
      </c>
      <c r="G174" t="s">
        <v>486</v>
      </c>
      <c r="H174" t="b">
        <v>0</v>
      </c>
      <c r="I174" t="b">
        <v>0</v>
      </c>
      <c r="J174" t="s">
        <v>1095</v>
      </c>
      <c r="K174">
        <v>0</v>
      </c>
      <c r="L174" t="s">
        <v>592</v>
      </c>
      <c r="M174" t="s">
        <v>648</v>
      </c>
      <c r="Q174">
        <v>0</v>
      </c>
      <c r="R174">
        <v>0</v>
      </c>
      <c r="S174" t="b">
        <v>0</v>
      </c>
      <c r="T174" t="b">
        <f t="shared" si="4"/>
        <v>0</v>
      </c>
      <c r="U174" t="b">
        <f t="shared" si="5"/>
        <v>1</v>
      </c>
      <c r="V174" t="b">
        <f t="shared" si="6"/>
        <v>0</v>
      </c>
      <c r="W174" t="b">
        <f t="shared" si="7"/>
        <v>0</v>
      </c>
      <c r="X174" t="s">
        <v>895</v>
      </c>
    </row>
    <row r="175" spans="1:24" x14ac:dyDescent="0.25">
      <c r="A175">
        <v>1</v>
      </c>
      <c r="B175" t="s">
        <v>21</v>
      </c>
      <c r="C175">
        <v>30545856</v>
      </c>
      <c r="D175" t="s">
        <v>183</v>
      </c>
      <c r="E175" t="b">
        <v>0</v>
      </c>
      <c r="F175" t="b">
        <v>1</v>
      </c>
      <c r="G175" t="s">
        <v>492</v>
      </c>
      <c r="H175" t="b">
        <v>0</v>
      </c>
      <c r="I175" t="b">
        <v>0</v>
      </c>
      <c r="J175" t="s">
        <v>1093</v>
      </c>
      <c r="K175" s="2">
        <v>0</v>
      </c>
      <c r="L175" t="s">
        <v>573</v>
      </c>
      <c r="M175" t="s">
        <v>614</v>
      </c>
      <c r="N175" t="s">
        <v>679</v>
      </c>
      <c r="Q175">
        <v>0</v>
      </c>
      <c r="R175">
        <v>0</v>
      </c>
      <c r="S175" t="b">
        <v>1</v>
      </c>
      <c r="T175" t="b">
        <f t="shared" si="4"/>
        <v>1</v>
      </c>
      <c r="U175" t="b">
        <f t="shared" si="5"/>
        <v>0</v>
      </c>
      <c r="V175" t="b">
        <f t="shared" si="6"/>
        <v>0</v>
      </c>
      <c r="W175" t="b">
        <f t="shared" si="7"/>
        <v>0</v>
      </c>
      <c r="X175" t="s">
        <v>768</v>
      </c>
    </row>
    <row r="176" spans="1:24" x14ac:dyDescent="0.25">
      <c r="A176">
        <v>1</v>
      </c>
      <c r="B176" t="s">
        <v>21</v>
      </c>
      <c r="C176">
        <v>30545856</v>
      </c>
      <c r="D176" t="s">
        <v>186</v>
      </c>
      <c r="E176" t="b">
        <v>0</v>
      </c>
      <c r="F176" t="b">
        <v>1</v>
      </c>
      <c r="G176" t="s">
        <v>492</v>
      </c>
      <c r="H176" t="b">
        <v>0</v>
      </c>
      <c r="I176" t="b">
        <v>0</v>
      </c>
      <c r="J176" t="s">
        <v>1093</v>
      </c>
      <c r="K176" s="2">
        <v>0</v>
      </c>
      <c r="L176" t="s">
        <v>575</v>
      </c>
      <c r="M176" t="s">
        <v>617</v>
      </c>
      <c r="N176" t="s">
        <v>680</v>
      </c>
      <c r="O176" t="s">
        <v>680</v>
      </c>
      <c r="Q176">
        <v>0</v>
      </c>
      <c r="R176">
        <v>0</v>
      </c>
      <c r="S176" t="b">
        <v>1</v>
      </c>
      <c r="T176" t="b">
        <f t="shared" si="4"/>
        <v>1</v>
      </c>
      <c r="U176" t="b">
        <f t="shared" si="5"/>
        <v>0</v>
      </c>
      <c r="V176" t="b">
        <f t="shared" si="6"/>
        <v>0</v>
      </c>
      <c r="W176" t="b">
        <f t="shared" si="7"/>
        <v>0</v>
      </c>
      <c r="X176" t="s">
        <v>771</v>
      </c>
    </row>
    <row r="177" spans="1:24" x14ac:dyDescent="0.25">
      <c r="A177">
        <v>1</v>
      </c>
      <c r="B177" t="s">
        <v>21</v>
      </c>
      <c r="C177">
        <v>30545856</v>
      </c>
      <c r="D177" t="s">
        <v>169</v>
      </c>
      <c r="E177" t="b">
        <v>1</v>
      </c>
      <c r="F177" t="b">
        <v>1</v>
      </c>
      <c r="G177" t="s">
        <v>488</v>
      </c>
      <c r="H177" t="b">
        <v>0</v>
      </c>
      <c r="I177" t="b">
        <v>0</v>
      </c>
      <c r="J177" t="s">
        <v>1094</v>
      </c>
      <c r="K177">
        <v>0</v>
      </c>
      <c r="O177" t="s">
        <v>1056</v>
      </c>
      <c r="Q177">
        <v>0</v>
      </c>
      <c r="R177">
        <v>0</v>
      </c>
      <c r="S177" t="b">
        <v>0</v>
      </c>
      <c r="T177" t="b">
        <f t="shared" si="4"/>
        <v>0</v>
      </c>
      <c r="U177" t="b">
        <f t="shared" si="5"/>
        <v>1</v>
      </c>
      <c r="V177" t="b">
        <f t="shared" si="6"/>
        <v>0</v>
      </c>
      <c r="W177" t="b">
        <f t="shared" si="7"/>
        <v>0</v>
      </c>
      <c r="X177" t="s">
        <v>754</v>
      </c>
    </row>
    <row r="178" spans="1:24" x14ac:dyDescent="0.25">
      <c r="A178">
        <v>1</v>
      </c>
      <c r="B178" t="s">
        <v>21</v>
      </c>
      <c r="C178">
        <v>30545856</v>
      </c>
      <c r="D178" t="s">
        <v>360</v>
      </c>
      <c r="E178" t="b">
        <v>1</v>
      </c>
      <c r="F178" t="b">
        <v>1</v>
      </c>
      <c r="G178" t="s">
        <v>480</v>
      </c>
      <c r="H178" t="b">
        <v>0</v>
      </c>
      <c r="I178" t="b">
        <v>0</v>
      </c>
      <c r="J178" t="s">
        <v>1094</v>
      </c>
      <c r="K178">
        <v>0</v>
      </c>
      <c r="O178" t="s">
        <v>1056</v>
      </c>
      <c r="Q178">
        <v>0</v>
      </c>
      <c r="R178">
        <v>0</v>
      </c>
      <c r="S178" t="b">
        <v>0</v>
      </c>
      <c r="T178" t="b">
        <f t="shared" si="4"/>
        <v>0</v>
      </c>
      <c r="U178" t="b">
        <f t="shared" si="5"/>
        <v>1</v>
      </c>
      <c r="V178" t="b">
        <f t="shared" si="6"/>
        <v>0</v>
      </c>
      <c r="W178" t="b">
        <f t="shared" si="7"/>
        <v>0</v>
      </c>
      <c r="X178" t="s">
        <v>937</v>
      </c>
    </row>
    <row r="179" spans="1:24" x14ac:dyDescent="0.25">
      <c r="A179">
        <v>1</v>
      </c>
      <c r="B179" t="s">
        <v>21</v>
      </c>
      <c r="C179">
        <v>30545856</v>
      </c>
      <c r="D179" t="s">
        <v>161</v>
      </c>
      <c r="E179" t="b">
        <v>1</v>
      </c>
      <c r="F179" t="b">
        <v>1</v>
      </c>
      <c r="G179" t="s">
        <v>485</v>
      </c>
      <c r="H179" t="b">
        <v>0</v>
      </c>
      <c r="I179" t="b">
        <v>0</v>
      </c>
      <c r="J179" t="s">
        <v>1098</v>
      </c>
      <c r="K179">
        <v>0</v>
      </c>
      <c r="L179" t="s">
        <v>11</v>
      </c>
      <c r="Q179">
        <v>0</v>
      </c>
      <c r="R179">
        <v>0</v>
      </c>
      <c r="S179" t="b">
        <v>0</v>
      </c>
      <c r="T179" t="b">
        <f t="shared" si="4"/>
        <v>0</v>
      </c>
      <c r="U179" t="b">
        <f t="shared" si="5"/>
        <v>1</v>
      </c>
      <c r="V179" t="b">
        <f t="shared" si="6"/>
        <v>0</v>
      </c>
      <c r="W179" t="b">
        <f t="shared" si="7"/>
        <v>0</v>
      </c>
      <c r="X179" t="s">
        <v>746</v>
      </c>
    </row>
    <row r="180" spans="1:24" x14ac:dyDescent="0.25">
      <c r="A180">
        <v>1</v>
      </c>
      <c r="B180" t="s">
        <v>21</v>
      </c>
      <c r="C180">
        <v>30545856</v>
      </c>
      <c r="D180" t="s">
        <v>354</v>
      </c>
      <c r="E180" t="b">
        <v>1</v>
      </c>
      <c r="F180" t="b">
        <v>1</v>
      </c>
      <c r="G180" t="s">
        <v>485</v>
      </c>
      <c r="H180" t="b">
        <v>0</v>
      </c>
      <c r="I180" t="b">
        <v>0</v>
      </c>
      <c r="J180" t="s">
        <v>1095</v>
      </c>
      <c r="K180">
        <v>0</v>
      </c>
      <c r="M180" t="s">
        <v>644</v>
      </c>
      <c r="Q180">
        <v>0</v>
      </c>
      <c r="R180">
        <v>0</v>
      </c>
      <c r="S180" t="b">
        <v>0</v>
      </c>
      <c r="T180" t="b">
        <f t="shared" si="4"/>
        <v>0</v>
      </c>
      <c r="U180" t="b">
        <f t="shared" si="5"/>
        <v>1</v>
      </c>
      <c r="V180" t="b">
        <f t="shared" si="6"/>
        <v>0</v>
      </c>
      <c r="W180" t="b">
        <f t="shared" si="7"/>
        <v>0</v>
      </c>
      <c r="X180" t="s">
        <v>931</v>
      </c>
    </row>
    <row r="181" spans="1:24" x14ac:dyDescent="0.25">
      <c r="A181">
        <v>1</v>
      </c>
      <c r="B181" t="s">
        <v>21</v>
      </c>
      <c r="C181">
        <v>30545856</v>
      </c>
      <c r="D181" t="s">
        <v>338</v>
      </c>
      <c r="E181" t="b">
        <v>1</v>
      </c>
      <c r="F181" t="b">
        <v>1</v>
      </c>
      <c r="G181" t="s">
        <v>492</v>
      </c>
      <c r="H181" t="b">
        <v>0</v>
      </c>
      <c r="I181" t="b">
        <v>0</v>
      </c>
      <c r="J181" t="s">
        <v>1101</v>
      </c>
      <c r="K181">
        <v>0</v>
      </c>
      <c r="L181" t="s">
        <v>575</v>
      </c>
      <c r="M181" t="s">
        <v>617</v>
      </c>
      <c r="N181" t="s">
        <v>681</v>
      </c>
      <c r="Q181">
        <v>0</v>
      </c>
      <c r="R181">
        <v>0</v>
      </c>
      <c r="S181" t="b">
        <v>0</v>
      </c>
      <c r="T181" t="b">
        <f t="shared" si="4"/>
        <v>0</v>
      </c>
      <c r="U181" t="b">
        <f t="shared" si="5"/>
        <v>1</v>
      </c>
      <c r="V181" t="b">
        <f t="shared" si="6"/>
        <v>0</v>
      </c>
      <c r="W181" t="b">
        <f t="shared" si="7"/>
        <v>0</v>
      </c>
      <c r="X181" t="s">
        <v>915</v>
      </c>
    </row>
    <row r="182" spans="1:24" x14ac:dyDescent="0.25">
      <c r="A182">
        <v>1</v>
      </c>
      <c r="B182" t="s">
        <v>27</v>
      </c>
      <c r="C182">
        <v>31097668</v>
      </c>
      <c r="D182" t="s">
        <v>394</v>
      </c>
      <c r="E182" t="b">
        <v>1</v>
      </c>
      <c r="F182" t="b">
        <v>1</v>
      </c>
      <c r="G182" t="s">
        <v>489</v>
      </c>
      <c r="H182" t="b">
        <v>0</v>
      </c>
      <c r="I182" t="b">
        <v>0</v>
      </c>
      <c r="J182" t="s">
        <v>1095</v>
      </c>
      <c r="K182">
        <v>0</v>
      </c>
      <c r="M182" t="s">
        <v>626</v>
      </c>
      <c r="Q182">
        <v>0</v>
      </c>
      <c r="R182">
        <v>0</v>
      </c>
      <c r="S182" t="b">
        <v>0</v>
      </c>
      <c r="T182" t="b">
        <f t="shared" si="4"/>
        <v>0</v>
      </c>
      <c r="U182" t="b">
        <f t="shared" si="5"/>
        <v>1</v>
      </c>
      <c r="V182" t="b">
        <f t="shared" si="6"/>
        <v>0</v>
      </c>
      <c r="W182" t="b">
        <f t="shared" si="7"/>
        <v>0</v>
      </c>
      <c r="X182" t="s">
        <v>970</v>
      </c>
    </row>
    <row r="183" spans="1:24" x14ac:dyDescent="0.25">
      <c r="A183">
        <v>1</v>
      </c>
      <c r="B183" t="s">
        <v>27</v>
      </c>
      <c r="C183">
        <v>31097668</v>
      </c>
      <c r="D183" t="s">
        <v>393</v>
      </c>
      <c r="E183" t="b">
        <v>1</v>
      </c>
      <c r="F183" t="b">
        <v>1</v>
      </c>
      <c r="G183" t="s">
        <v>489</v>
      </c>
      <c r="H183" t="b">
        <v>0</v>
      </c>
      <c r="I183" t="b">
        <v>0</v>
      </c>
      <c r="J183" t="s">
        <v>1095</v>
      </c>
      <c r="K183">
        <v>0</v>
      </c>
      <c r="M183" t="s">
        <v>626</v>
      </c>
      <c r="Q183">
        <v>0</v>
      </c>
      <c r="R183">
        <v>0</v>
      </c>
      <c r="S183" t="b">
        <v>0</v>
      </c>
      <c r="T183" t="b">
        <f t="shared" si="4"/>
        <v>0</v>
      </c>
      <c r="U183" t="b">
        <f t="shared" si="5"/>
        <v>1</v>
      </c>
      <c r="V183" t="b">
        <f t="shared" si="6"/>
        <v>0</v>
      </c>
      <c r="W183" t="b">
        <f t="shared" si="7"/>
        <v>0</v>
      </c>
      <c r="X183" t="s">
        <v>969</v>
      </c>
    </row>
    <row r="184" spans="1:24" x14ac:dyDescent="0.25">
      <c r="A184">
        <v>1</v>
      </c>
      <c r="B184" t="s">
        <v>27</v>
      </c>
      <c r="C184">
        <v>31097668</v>
      </c>
      <c r="D184" t="s">
        <v>392</v>
      </c>
      <c r="E184" t="b">
        <v>1</v>
      </c>
      <c r="F184" t="b">
        <v>1</v>
      </c>
      <c r="G184" t="s">
        <v>489</v>
      </c>
      <c r="H184" t="b">
        <v>0</v>
      </c>
      <c r="I184" t="b">
        <v>0</v>
      </c>
      <c r="J184" t="s">
        <v>1095</v>
      </c>
      <c r="K184">
        <v>0</v>
      </c>
      <c r="M184" t="s">
        <v>626</v>
      </c>
      <c r="Q184">
        <v>0</v>
      </c>
      <c r="R184">
        <v>0</v>
      </c>
      <c r="S184" t="b">
        <v>0</v>
      </c>
      <c r="T184" t="b">
        <f t="shared" si="4"/>
        <v>0</v>
      </c>
      <c r="U184" t="b">
        <f t="shared" si="5"/>
        <v>1</v>
      </c>
      <c r="V184" t="b">
        <f t="shared" si="6"/>
        <v>0</v>
      </c>
      <c r="W184" t="b">
        <f t="shared" si="7"/>
        <v>0</v>
      </c>
      <c r="X184" t="s">
        <v>968</v>
      </c>
    </row>
    <row r="185" spans="1:24" x14ac:dyDescent="0.25">
      <c r="A185">
        <v>1</v>
      </c>
      <c r="B185" t="s">
        <v>27</v>
      </c>
      <c r="C185">
        <v>31097668</v>
      </c>
      <c r="D185" t="s">
        <v>391</v>
      </c>
      <c r="E185" t="b">
        <v>1</v>
      </c>
      <c r="F185" t="b">
        <v>1</v>
      </c>
      <c r="G185" t="s">
        <v>489</v>
      </c>
      <c r="H185" t="b">
        <v>0</v>
      </c>
      <c r="I185" t="b">
        <v>0</v>
      </c>
      <c r="J185" t="s">
        <v>1095</v>
      </c>
      <c r="K185">
        <v>0</v>
      </c>
      <c r="M185" t="s">
        <v>626</v>
      </c>
      <c r="Q185">
        <v>0</v>
      </c>
      <c r="R185">
        <v>0</v>
      </c>
      <c r="S185" t="b">
        <v>0</v>
      </c>
      <c r="T185" t="b">
        <f t="shared" si="4"/>
        <v>0</v>
      </c>
      <c r="U185" t="b">
        <f t="shared" si="5"/>
        <v>1</v>
      </c>
      <c r="V185" t="b">
        <f t="shared" si="6"/>
        <v>0</v>
      </c>
      <c r="W185" t="b">
        <f t="shared" si="7"/>
        <v>0</v>
      </c>
      <c r="X185" t="s">
        <v>967</v>
      </c>
    </row>
    <row r="186" spans="1:24" x14ac:dyDescent="0.25">
      <c r="A186">
        <v>1</v>
      </c>
      <c r="B186" t="s">
        <v>27</v>
      </c>
      <c r="C186">
        <v>31097668</v>
      </c>
      <c r="D186" t="s">
        <v>390</v>
      </c>
      <c r="E186" t="b">
        <v>1</v>
      </c>
      <c r="F186" t="b">
        <v>1</v>
      </c>
      <c r="G186" t="s">
        <v>489</v>
      </c>
      <c r="H186" t="b">
        <v>0</v>
      </c>
      <c r="I186" t="b">
        <v>0</v>
      </c>
      <c r="J186" t="s">
        <v>1095</v>
      </c>
      <c r="K186">
        <v>0</v>
      </c>
      <c r="M186" t="s">
        <v>626</v>
      </c>
      <c r="Q186">
        <v>0</v>
      </c>
      <c r="R186">
        <v>0</v>
      </c>
      <c r="S186" t="b">
        <v>0</v>
      </c>
      <c r="T186" t="b">
        <f t="shared" si="4"/>
        <v>0</v>
      </c>
      <c r="U186" t="b">
        <f t="shared" si="5"/>
        <v>1</v>
      </c>
      <c r="V186" t="b">
        <f t="shared" si="6"/>
        <v>0</v>
      </c>
      <c r="W186" t="b">
        <f t="shared" si="7"/>
        <v>0</v>
      </c>
      <c r="X186" t="s">
        <v>966</v>
      </c>
    </row>
    <row r="187" spans="1:24" x14ac:dyDescent="0.25">
      <c r="A187">
        <v>1</v>
      </c>
      <c r="B187" t="s">
        <v>27</v>
      </c>
      <c r="C187">
        <v>31097668</v>
      </c>
      <c r="D187" t="s">
        <v>389</v>
      </c>
      <c r="E187" t="b">
        <v>1</v>
      </c>
      <c r="F187" t="b">
        <v>1</v>
      </c>
      <c r="G187" t="s">
        <v>489</v>
      </c>
      <c r="H187" t="b">
        <v>0</v>
      </c>
      <c r="I187" t="b">
        <v>0</v>
      </c>
      <c r="J187" t="s">
        <v>1095</v>
      </c>
      <c r="K187">
        <v>0</v>
      </c>
      <c r="M187" t="s">
        <v>626</v>
      </c>
      <c r="Q187">
        <v>0</v>
      </c>
      <c r="R187">
        <v>0</v>
      </c>
      <c r="S187" t="b">
        <v>0</v>
      </c>
      <c r="T187" t="b">
        <f t="shared" si="4"/>
        <v>0</v>
      </c>
      <c r="U187" t="b">
        <f t="shared" si="5"/>
        <v>1</v>
      </c>
      <c r="V187" t="b">
        <f t="shared" si="6"/>
        <v>0</v>
      </c>
      <c r="W187" t="b">
        <f t="shared" si="7"/>
        <v>0</v>
      </c>
      <c r="X187" t="s">
        <v>965</v>
      </c>
    </row>
    <row r="188" spans="1:24" x14ac:dyDescent="0.25">
      <c r="A188">
        <v>1</v>
      </c>
      <c r="B188" t="s">
        <v>27</v>
      </c>
      <c r="C188">
        <v>31097668</v>
      </c>
      <c r="D188" t="s">
        <v>388</v>
      </c>
      <c r="E188" t="b">
        <v>1</v>
      </c>
      <c r="F188" t="b">
        <v>1</v>
      </c>
      <c r="G188" t="s">
        <v>489</v>
      </c>
      <c r="H188" t="b">
        <v>0</v>
      </c>
      <c r="I188" t="b">
        <v>0</v>
      </c>
      <c r="J188" t="s">
        <v>1095</v>
      </c>
      <c r="K188">
        <v>0</v>
      </c>
      <c r="M188" t="s">
        <v>626</v>
      </c>
      <c r="Q188">
        <v>0</v>
      </c>
      <c r="R188">
        <v>0</v>
      </c>
      <c r="S188" t="b">
        <v>0</v>
      </c>
      <c r="T188" t="b">
        <f t="shared" si="4"/>
        <v>0</v>
      </c>
      <c r="U188" t="b">
        <f t="shared" si="5"/>
        <v>1</v>
      </c>
      <c r="V188" t="b">
        <f t="shared" si="6"/>
        <v>0</v>
      </c>
      <c r="W188" t="b">
        <f t="shared" si="7"/>
        <v>0</v>
      </c>
      <c r="X188" t="s">
        <v>964</v>
      </c>
    </row>
    <row r="189" spans="1:24" x14ac:dyDescent="0.25">
      <c r="A189">
        <v>1</v>
      </c>
      <c r="B189" t="s">
        <v>27</v>
      </c>
      <c r="C189">
        <v>31097668</v>
      </c>
      <c r="D189" t="s">
        <v>387</v>
      </c>
      <c r="E189" t="b">
        <v>1</v>
      </c>
      <c r="F189" t="b">
        <v>1</v>
      </c>
      <c r="G189" t="s">
        <v>489</v>
      </c>
      <c r="H189" t="b">
        <v>0</v>
      </c>
      <c r="I189" t="b">
        <v>0</v>
      </c>
      <c r="J189" t="s">
        <v>1095</v>
      </c>
      <c r="K189">
        <v>0</v>
      </c>
      <c r="Q189">
        <v>0</v>
      </c>
      <c r="R189">
        <v>0</v>
      </c>
      <c r="S189" t="b">
        <v>0</v>
      </c>
      <c r="T189" t="b">
        <f t="shared" si="4"/>
        <v>0</v>
      </c>
      <c r="U189" t="b">
        <f t="shared" si="5"/>
        <v>1</v>
      </c>
      <c r="V189" t="b">
        <f t="shared" si="6"/>
        <v>0</v>
      </c>
      <c r="W189" t="b">
        <f t="shared" si="7"/>
        <v>0</v>
      </c>
      <c r="X189" t="s">
        <v>963</v>
      </c>
    </row>
    <row r="190" spans="1:24" x14ac:dyDescent="0.25">
      <c r="A190">
        <v>1</v>
      </c>
      <c r="B190" t="s">
        <v>27</v>
      </c>
      <c r="C190">
        <v>31097668</v>
      </c>
      <c r="D190" t="s">
        <v>386</v>
      </c>
      <c r="E190" t="b">
        <v>1</v>
      </c>
      <c r="F190" t="b">
        <v>1</v>
      </c>
      <c r="G190" t="s">
        <v>489</v>
      </c>
      <c r="H190" t="b">
        <v>0</v>
      </c>
      <c r="I190" t="b">
        <v>0</v>
      </c>
      <c r="J190" t="s">
        <v>1095</v>
      </c>
      <c r="K190">
        <v>0</v>
      </c>
      <c r="M190" t="s">
        <v>626</v>
      </c>
      <c r="Q190">
        <v>0</v>
      </c>
      <c r="R190">
        <v>0</v>
      </c>
      <c r="S190" t="b">
        <v>0</v>
      </c>
      <c r="T190" t="b">
        <f t="shared" si="4"/>
        <v>0</v>
      </c>
      <c r="U190" t="b">
        <f t="shared" si="5"/>
        <v>1</v>
      </c>
      <c r="V190" t="b">
        <f t="shared" si="6"/>
        <v>0</v>
      </c>
      <c r="W190" t="b">
        <f t="shared" si="7"/>
        <v>0</v>
      </c>
      <c r="X190" t="s">
        <v>962</v>
      </c>
    </row>
    <row r="191" spans="1:24" x14ac:dyDescent="0.25">
      <c r="A191">
        <v>1</v>
      </c>
      <c r="B191" t="s">
        <v>27</v>
      </c>
      <c r="C191">
        <v>31097668</v>
      </c>
      <c r="D191" t="s">
        <v>194</v>
      </c>
      <c r="E191" t="b">
        <v>1</v>
      </c>
      <c r="F191" t="b">
        <v>1</v>
      </c>
      <c r="G191" t="s">
        <v>489</v>
      </c>
      <c r="H191" t="b">
        <v>0</v>
      </c>
      <c r="I191" t="b">
        <v>0</v>
      </c>
      <c r="J191" t="s">
        <v>1095</v>
      </c>
      <c r="K191">
        <v>0</v>
      </c>
      <c r="M191" t="s">
        <v>626</v>
      </c>
      <c r="Q191">
        <v>0</v>
      </c>
      <c r="R191">
        <v>0</v>
      </c>
      <c r="S191" t="b">
        <v>0</v>
      </c>
      <c r="T191" t="b">
        <f t="shared" si="4"/>
        <v>0</v>
      </c>
      <c r="U191" t="b">
        <f t="shared" si="5"/>
        <v>1</v>
      </c>
      <c r="V191" t="b">
        <f t="shared" si="6"/>
        <v>0</v>
      </c>
      <c r="W191" t="b">
        <f t="shared" si="7"/>
        <v>0</v>
      </c>
      <c r="X191" t="s">
        <v>779</v>
      </c>
    </row>
    <row r="192" spans="1:24" x14ac:dyDescent="0.25">
      <c r="A192">
        <v>1</v>
      </c>
      <c r="B192" t="s">
        <v>27</v>
      </c>
      <c r="C192">
        <v>31097668</v>
      </c>
      <c r="D192" t="s">
        <v>193</v>
      </c>
      <c r="E192" t="b">
        <v>1</v>
      </c>
      <c r="F192" t="b">
        <v>1</v>
      </c>
      <c r="G192" t="s">
        <v>489</v>
      </c>
      <c r="H192" t="b">
        <v>0</v>
      </c>
      <c r="I192" t="b">
        <v>0</v>
      </c>
      <c r="J192" t="s">
        <v>1095</v>
      </c>
      <c r="K192">
        <v>0</v>
      </c>
      <c r="Q192">
        <v>0</v>
      </c>
      <c r="R192">
        <v>0</v>
      </c>
      <c r="S192" t="b">
        <v>0</v>
      </c>
      <c r="T192" t="b">
        <f t="shared" si="4"/>
        <v>0</v>
      </c>
      <c r="U192" t="b">
        <f t="shared" si="5"/>
        <v>1</v>
      </c>
      <c r="V192" t="b">
        <f t="shared" si="6"/>
        <v>0</v>
      </c>
      <c r="W192" t="b">
        <f t="shared" si="7"/>
        <v>0</v>
      </c>
      <c r="X192" t="s">
        <v>778</v>
      </c>
    </row>
    <row r="193" spans="1:24" x14ac:dyDescent="0.25">
      <c r="A193">
        <v>1</v>
      </c>
      <c r="B193" t="s">
        <v>27</v>
      </c>
      <c r="C193">
        <v>31097668</v>
      </c>
      <c r="D193" t="s">
        <v>192</v>
      </c>
      <c r="E193" t="b">
        <v>1</v>
      </c>
      <c r="F193" t="b">
        <v>1</v>
      </c>
      <c r="G193" t="s">
        <v>489</v>
      </c>
      <c r="H193" t="b">
        <v>0</v>
      </c>
      <c r="I193" t="b">
        <v>0</v>
      </c>
      <c r="J193" t="s">
        <v>1095</v>
      </c>
      <c r="K193">
        <v>0</v>
      </c>
      <c r="M193" t="s">
        <v>626</v>
      </c>
      <c r="Q193">
        <v>0</v>
      </c>
      <c r="R193">
        <v>0</v>
      </c>
      <c r="S193" t="b">
        <v>0</v>
      </c>
      <c r="T193" t="b">
        <f t="shared" si="4"/>
        <v>0</v>
      </c>
      <c r="U193" t="b">
        <f t="shared" si="5"/>
        <v>1</v>
      </c>
      <c r="V193" t="b">
        <f t="shared" si="6"/>
        <v>0</v>
      </c>
      <c r="W193" t="b">
        <f t="shared" si="7"/>
        <v>0</v>
      </c>
      <c r="X193" t="s">
        <v>777</v>
      </c>
    </row>
    <row r="194" spans="1:24" x14ac:dyDescent="0.25">
      <c r="A194">
        <v>1</v>
      </c>
      <c r="B194" t="s">
        <v>27</v>
      </c>
      <c r="C194">
        <v>31097668</v>
      </c>
      <c r="D194" t="s">
        <v>191</v>
      </c>
      <c r="E194" t="b">
        <v>1</v>
      </c>
      <c r="F194" t="b">
        <v>1</v>
      </c>
      <c r="G194" t="s">
        <v>489</v>
      </c>
      <c r="H194" t="b">
        <v>0</v>
      </c>
      <c r="I194" t="b">
        <v>0</v>
      </c>
      <c r="J194" t="s">
        <v>1095</v>
      </c>
      <c r="K194">
        <v>0</v>
      </c>
      <c r="M194" t="s">
        <v>626</v>
      </c>
      <c r="Q194">
        <v>0</v>
      </c>
      <c r="R194">
        <v>0</v>
      </c>
      <c r="S194" t="b">
        <v>0</v>
      </c>
      <c r="T194" t="b">
        <f t="shared" si="4"/>
        <v>0</v>
      </c>
      <c r="U194" t="b">
        <f t="shared" si="5"/>
        <v>1</v>
      </c>
      <c r="V194" t="b">
        <f t="shared" si="6"/>
        <v>0</v>
      </c>
      <c r="W194" t="b">
        <f t="shared" si="7"/>
        <v>0</v>
      </c>
      <c r="X194" t="s">
        <v>776</v>
      </c>
    </row>
    <row r="195" spans="1:24" x14ac:dyDescent="0.25">
      <c r="A195">
        <v>1</v>
      </c>
      <c r="B195" t="s">
        <v>27</v>
      </c>
      <c r="C195">
        <v>31097668</v>
      </c>
      <c r="D195" t="s">
        <v>190</v>
      </c>
      <c r="E195" t="b">
        <v>1</v>
      </c>
      <c r="F195" t="b">
        <v>1</v>
      </c>
      <c r="G195" t="s">
        <v>489</v>
      </c>
      <c r="H195" t="b">
        <v>0</v>
      </c>
      <c r="I195" t="b">
        <v>0</v>
      </c>
      <c r="J195" t="s">
        <v>1095</v>
      </c>
      <c r="K195">
        <v>0</v>
      </c>
      <c r="M195" t="s">
        <v>626</v>
      </c>
      <c r="Q195">
        <v>0</v>
      </c>
      <c r="R195">
        <v>0</v>
      </c>
      <c r="S195" t="b">
        <v>0</v>
      </c>
      <c r="T195" t="b">
        <f t="shared" si="4"/>
        <v>0</v>
      </c>
      <c r="U195" t="b">
        <f t="shared" si="5"/>
        <v>1</v>
      </c>
      <c r="V195" t="b">
        <f t="shared" si="6"/>
        <v>0</v>
      </c>
      <c r="W195" t="b">
        <f t="shared" si="7"/>
        <v>0</v>
      </c>
      <c r="X195" t="s">
        <v>775</v>
      </c>
    </row>
    <row r="196" spans="1:24" x14ac:dyDescent="0.25">
      <c r="A196">
        <v>1</v>
      </c>
      <c r="B196" t="s">
        <v>27</v>
      </c>
      <c r="C196">
        <v>31097668</v>
      </c>
      <c r="D196" t="s">
        <v>189</v>
      </c>
      <c r="E196" t="b">
        <v>1</v>
      </c>
      <c r="F196" t="b">
        <v>1</v>
      </c>
      <c r="G196" t="s">
        <v>489</v>
      </c>
      <c r="H196" t="b">
        <v>0</v>
      </c>
      <c r="I196" t="b">
        <v>0</v>
      </c>
      <c r="J196" t="s">
        <v>1095</v>
      </c>
      <c r="K196">
        <v>0</v>
      </c>
      <c r="M196" t="s">
        <v>626</v>
      </c>
      <c r="Q196">
        <v>0</v>
      </c>
      <c r="R196">
        <v>0</v>
      </c>
      <c r="S196" t="b">
        <v>0</v>
      </c>
      <c r="T196" t="b">
        <f t="shared" si="4"/>
        <v>0</v>
      </c>
      <c r="U196" t="b">
        <f t="shared" si="5"/>
        <v>1</v>
      </c>
      <c r="V196" t="b">
        <f t="shared" si="6"/>
        <v>0</v>
      </c>
      <c r="W196" t="b">
        <f t="shared" si="7"/>
        <v>0</v>
      </c>
      <c r="X196" t="s">
        <v>774</v>
      </c>
    </row>
    <row r="197" spans="1:24" x14ac:dyDescent="0.25">
      <c r="A197">
        <v>1</v>
      </c>
      <c r="B197" t="s">
        <v>27</v>
      </c>
      <c r="C197">
        <v>31097668</v>
      </c>
      <c r="D197" t="s">
        <v>375</v>
      </c>
      <c r="E197" t="b">
        <v>1</v>
      </c>
      <c r="F197" t="b">
        <v>1</v>
      </c>
      <c r="G197" t="s">
        <v>535</v>
      </c>
      <c r="H197" t="b">
        <v>0</v>
      </c>
      <c r="I197" t="b">
        <v>0</v>
      </c>
      <c r="J197" t="s">
        <v>1095</v>
      </c>
      <c r="K197">
        <v>0</v>
      </c>
      <c r="Q197">
        <v>0</v>
      </c>
      <c r="R197">
        <v>0</v>
      </c>
      <c r="S197" t="b">
        <v>0</v>
      </c>
      <c r="T197" t="b">
        <f t="shared" si="4"/>
        <v>0</v>
      </c>
      <c r="U197" t="b">
        <f t="shared" si="5"/>
        <v>1</v>
      </c>
      <c r="V197" t="b">
        <f t="shared" si="6"/>
        <v>0</v>
      </c>
      <c r="W197" t="b">
        <f t="shared" si="7"/>
        <v>0</v>
      </c>
      <c r="X197" t="s">
        <v>952</v>
      </c>
    </row>
    <row r="198" spans="1:24" x14ac:dyDescent="0.25">
      <c r="A198">
        <v>1</v>
      </c>
      <c r="B198" t="s">
        <v>27</v>
      </c>
      <c r="C198">
        <v>31097668</v>
      </c>
      <c r="D198" t="s">
        <v>374</v>
      </c>
      <c r="E198" t="b">
        <v>1</v>
      </c>
      <c r="F198" t="b">
        <v>1</v>
      </c>
      <c r="G198" t="s">
        <v>535</v>
      </c>
      <c r="H198" t="b">
        <v>0</v>
      </c>
      <c r="I198" t="b">
        <v>0</v>
      </c>
      <c r="J198" t="s">
        <v>1095</v>
      </c>
      <c r="K198" s="2">
        <v>0</v>
      </c>
      <c r="Q198">
        <v>0</v>
      </c>
      <c r="R198">
        <v>0</v>
      </c>
      <c r="S198" t="b">
        <v>1</v>
      </c>
      <c r="T198" t="b">
        <f t="shared" si="4"/>
        <v>0</v>
      </c>
      <c r="U198" t="b">
        <f t="shared" si="5"/>
        <v>0</v>
      </c>
      <c r="V198" t="b">
        <f t="shared" si="6"/>
        <v>1</v>
      </c>
      <c r="W198" t="b">
        <f t="shared" si="7"/>
        <v>0</v>
      </c>
      <c r="X198" t="s">
        <v>951</v>
      </c>
    </row>
    <row r="199" spans="1:24" x14ac:dyDescent="0.25">
      <c r="A199">
        <v>1</v>
      </c>
      <c r="B199" t="s">
        <v>27</v>
      </c>
      <c r="C199">
        <v>31097668</v>
      </c>
      <c r="D199" t="s">
        <v>371</v>
      </c>
      <c r="E199" t="b">
        <v>1</v>
      </c>
      <c r="F199" t="b">
        <v>1</v>
      </c>
      <c r="G199" t="s">
        <v>534</v>
      </c>
      <c r="H199" t="b">
        <v>0</v>
      </c>
      <c r="I199" t="b">
        <v>0</v>
      </c>
      <c r="J199" t="s">
        <v>1095</v>
      </c>
      <c r="K199">
        <v>0</v>
      </c>
      <c r="M199" t="s">
        <v>654</v>
      </c>
      <c r="Q199">
        <v>0</v>
      </c>
      <c r="R199">
        <v>0</v>
      </c>
      <c r="S199" t="b">
        <v>0</v>
      </c>
      <c r="T199" t="b">
        <f t="shared" si="4"/>
        <v>0</v>
      </c>
      <c r="U199" t="b">
        <f t="shared" si="5"/>
        <v>1</v>
      </c>
      <c r="V199" t="b">
        <f t="shared" si="6"/>
        <v>0</v>
      </c>
      <c r="W199" t="b">
        <f t="shared" si="7"/>
        <v>0</v>
      </c>
      <c r="X199" t="s">
        <v>948</v>
      </c>
    </row>
    <row r="200" spans="1:24" x14ac:dyDescent="0.25">
      <c r="A200">
        <v>1</v>
      </c>
      <c r="B200" t="s">
        <v>27</v>
      </c>
      <c r="C200">
        <v>31097668</v>
      </c>
      <c r="D200" t="s">
        <v>177</v>
      </c>
      <c r="E200" t="b">
        <v>0</v>
      </c>
      <c r="F200" t="b">
        <v>1</v>
      </c>
      <c r="G200" t="s">
        <v>490</v>
      </c>
      <c r="H200" t="b">
        <v>0</v>
      </c>
      <c r="I200" t="b">
        <v>0</v>
      </c>
      <c r="J200" t="s">
        <v>1102</v>
      </c>
      <c r="K200">
        <v>0</v>
      </c>
      <c r="L200" t="s">
        <v>572</v>
      </c>
      <c r="M200" t="s">
        <v>627</v>
      </c>
      <c r="N200" t="s">
        <v>678</v>
      </c>
      <c r="O200" t="s">
        <v>678</v>
      </c>
      <c r="Q200">
        <v>0</v>
      </c>
      <c r="R200">
        <v>0</v>
      </c>
      <c r="S200" t="b">
        <v>0</v>
      </c>
      <c r="T200" t="b">
        <f t="shared" si="4"/>
        <v>0</v>
      </c>
      <c r="U200" t="b">
        <f t="shared" si="5"/>
        <v>0</v>
      </c>
      <c r="V200" t="b">
        <f t="shared" si="6"/>
        <v>0</v>
      </c>
      <c r="W200" t="b">
        <f t="shared" si="7"/>
        <v>1</v>
      </c>
      <c r="X200" t="s">
        <v>762</v>
      </c>
    </row>
    <row r="201" spans="1:24" x14ac:dyDescent="0.25">
      <c r="A201">
        <v>1</v>
      </c>
      <c r="B201" t="s">
        <v>27</v>
      </c>
      <c r="C201">
        <v>31097668</v>
      </c>
      <c r="D201" t="s">
        <v>176</v>
      </c>
      <c r="E201" t="b">
        <v>0</v>
      </c>
      <c r="F201" t="b">
        <v>1</v>
      </c>
      <c r="G201" t="s">
        <v>490</v>
      </c>
      <c r="H201" t="b">
        <v>0</v>
      </c>
      <c r="I201" t="b">
        <v>0</v>
      </c>
      <c r="J201" t="s">
        <v>1102</v>
      </c>
      <c r="K201">
        <v>0</v>
      </c>
      <c r="L201" t="s">
        <v>571</v>
      </c>
      <c r="M201" t="s">
        <v>627</v>
      </c>
      <c r="N201" t="s">
        <v>677</v>
      </c>
      <c r="O201" t="s">
        <v>677</v>
      </c>
      <c r="Q201">
        <v>0</v>
      </c>
      <c r="R201">
        <v>0</v>
      </c>
      <c r="S201" t="b">
        <v>0</v>
      </c>
      <c r="T201" t="b">
        <f t="shared" si="4"/>
        <v>0</v>
      </c>
      <c r="U201" t="b">
        <f t="shared" si="5"/>
        <v>0</v>
      </c>
      <c r="V201" t="b">
        <f t="shared" si="6"/>
        <v>0</v>
      </c>
      <c r="W201" t="b">
        <f t="shared" si="7"/>
        <v>1</v>
      </c>
      <c r="X201" t="s">
        <v>761</v>
      </c>
    </row>
    <row r="202" spans="1:24" x14ac:dyDescent="0.25">
      <c r="A202">
        <v>1</v>
      </c>
      <c r="B202" t="s">
        <v>27</v>
      </c>
      <c r="C202">
        <v>31097668</v>
      </c>
      <c r="D202" t="s">
        <v>175</v>
      </c>
      <c r="E202" t="b">
        <v>0</v>
      </c>
      <c r="F202" t="b">
        <v>1</v>
      </c>
      <c r="G202" t="s">
        <v>490</v>
      </c>
      <c r="H202" t="b">
        <v>0</v>
      </c>
      <c r="I202" t="b">
        <v>0</v>
      </c>
      <c r="J202" t="s">
        <v>1093</v>
      </c>
      <c r="K202" s="2">
        <v>0</v>
      </c>
      <c r="L202" t="s">
        <v>570</v>
      </c>
      <c r="M202" t="s">
        <v>628</v>
      </c>
      <c r="N202" t="s">
        <v>676</v>
      </c>
      <c r="O202" t="s">
        <v>676</v>
      </c>
      <c r="Q202">
        <v>0</v>
      </c>
      <c r="R202">
        <v>0</v>
      </c>
      <c r="S202" t="b">
        <v>1</v>
      </c>
      <c r="T202" t="b">
        <f t="shared" si="4"/>
        <v>1</v>
      </c>
      <c r="U202" t="b">
        <f t="shared" si="5"/>
        <v>0</v>
      </c>
      <c r="V202" t="b">
        <f t="shared" si="6"/>
        <v>0</v>
      </c>
      <c r="W202" t="b">
        <f t="shared" si="7"/>
        <v>0</v>
      </c>
      <c r="X202" t="s">
        <v>760</v>
      </c>
    </row>
    <row r="203" spans="1:24" x14ac:dyDescent="0.25">
      <c r="A203">
        <v>1</v>
      </c>
      <c r="B203" t="s">
        <v>27</v>
      </c>
      <c r="C203">
        <v>31097668</v>
      </c>
      <c r="D203" t="s">
        <v>178</v>
      </c>
      <c r="E203" t="b">
        <v>0</v>
      </c>
      <c r="F203" t="b">
        <v>1</v>
      </c>
      <c r="G203" t="s">
        <v>491</v>
      </c>
      <c r="H203" t="b">
        <v>0</v>
      </c>
      <c r="I203" t="b">
        <v>0</v>
      </c>
      <c r="J203" t="s">
        <v>1093</v>
      </c>
      <c r="K203" s="2">
        <v>0</v>
      </c>
      <c r="L203" t="s">
        <v>569</v>
      </c>
      <c r="M203" t="s">
        <v>627</v>
      </c>
      <c r="N203" t="s">
        <v>675</v>
      </c>
      <c r="O203" t="s">
        <v>675</v>
      </c>
      <c r="Q203">
        <v>0</v>
      </c>
      <c r="R203">
        <v>0</v>
      </c>
      <c r="S203" t="b">
        <v>1</v>
      </c>
      <c r="T203" t="b">
        <f t="shared" si="4"/>
        <v>1</v>
      </c>
      <c r="U203" t="b">
        <f t="shared" si="5"/>
        <v>0</v>
      </c>
      <c r="V203" t="b">
        <f t="shared" si="6"/>
        <v>0</v>
      </c>
      <c r="W203" t="b">
        <f t="shared" si="7"/>
        <v>0</v>
      </c>
      <c r="X203" t="s">
        <v>763</v>
      </c>
    </row>
    <row r="204" spans="1:24" x14ac:dyDescent="0.25">
      <c r="A204">
        <v>1</v>
      </c>
      <c r="B204" t="s">
        <v>27</v>
      </c>
      <c r="C204">
        <v>31097668</v>
      </c>
      <c r="D204" t="s">
        <v>373</v>
      </c>
      <c r="E204" t="b">
        <v>1</v>
      </c>
      <c r="F204" t="b">
        <v>1</v>
      </c>
      <c r="G204" t="s">
        <v>535</v>
      </c>
      <c r="H204" t="b">
        <v>0</v>
      </c>
      <c r="I204" t="b">
        <v>0</v>
      </c>
      <c r="J204" t="s">
        <v>1095</v>
      </c>
      <c r="K204">
        <v>0</v>
      </c>
      <c r="Q204">
        <v>0</v>
      </c>
      <c r="R204">
        <v>0</v>
      </c>
      <c r="S204" t="b">
        <v>0</v>
      </c>
      <c r="T204" t="b">
        <f t="shared" si="4"/>
        <v>0</v>
      </c>
      <c r="U204" t="b">
        <f t="shared" si="5"/>
        <v>1</v>
      </c>
      <c r="V204" t="b">
        <f t="shared" si="6"/>
        <v>0</v>
      </c>
      <c r="W204" t="b">
        <f t="shared" si="7"/>
        <v>0</v>
      </c>
      <c r="X204" t="s">
        <v>950</v>
      </c>
    </row>
    <row r="205" spans="1:24" x14ac:dyDescent="0.25">
      <c r="A205">
        <v>1</v>
      </c>
      <c r="B205" t="s">
        <v>27</v>
      </c>
      <c r="C205">
        <v>31097668</v>
      </c>
      <c r="D205" t="s">
        <v>372</v>
      </c>
      <c r="E205" t="b">
        <v>1</v>
      </c>
      <c r="F205" t="b">
        <v>1</v>
      </c>
      <c r="G205" t="s">
        <v>535</v>
      </c>
      <c r="H205" t="b">
        <v>0</v>
      </c>
      <c r="I205" t="b">
        <v>0</v>
      </c>
      <c r="J205" t="s">
        <v>1095</v>
      </c>
      <c r="K205">
        <v>0</v>
      </c>
      <c r="Q205">
        <v>0</v>
      </c>
      <c r="R205">
        <v>0</v>
      </c>
      <c r="S205" t="b">
        <v>0</v>
      </c>
      <c r="T205" t="b">
        <f t="shared" si="4"/>
        <v>0</v>
      </c>
      <c r="U205" t="b">
        <f t="shared" si="5"/>
        <v>1</v>
      </c>
      <c r="V205" t="b">
        <f t="shared" si="6"/>
        <v>0</v>
      </c>
      <c r="W205" t="b">
        <f t="shared" si="7"/>
        <v>0</v>
      </c>
      <c r="X205" t="s">
        <v>949</v>
      </c>
    </row>
    <row r="206" spans="1:24" x14ac:dyDescent="0.25">
      <c r="A206">
        <v>1</v>
      </c>
      <c r="B206" t="s">
        <v>27</v>
      </c>
      <c r="C206">
        <v>31097668</v>
      </c>
      <c r="D206" t="s">
        <v>370</v>
      </c>
      <c r="E206" t="b">
        <v>1</v>
      </c>
      <c r="F206" t="b">
        <v>1</v>
      </c>
      <c r="G206" t="s">
        <v>534</v>
      </c>
      <c r="H206" t="b">
        <v>0</v>
      </c>
      <c r="I206" t="b">
        <v>0</v>
      </c>
      <c r="J206" t="s">
        <v>1095</v>
      </c>
      <c r="K206">
        <v>0</v>
      </c>
      <c r="Q206">
        <v>0</v>
      </c>
      <c r="R206">
        <v>0</v>
      </c>
      <c r="S206" t="b">
        <v>0</v>
      </c>
      <c r="T206" t="b">
        <f t="shared" si="4"/>
        <v>0</v>
      </c>
      <c r="U206" t="b">
        <f t="shared" si="5"/>
        <v>1</v>
      </c>
      <c r="V206" t="b">
        <f t="shared" si="6"/>
        <v>0</v>
      </c>
      <c r="W206" t="b">
        <f t="shared" si="7"/>
        <v>0</v>
      </c>
      <c r="X206" t="s">
        <v>947</v>
      </c>
    </row>
    <row r="207" spans="1:24" x14ac:dyDescent="0.25">
      <c r="A207">
        <v>1</v>
      </c>
      <c r="B207" t="s">
        <v>27</v>
      </c>
      <c r="C207">
        <v>31097668</v>
      </c>
      <c r="D207" t="s">
        <v>173</v>
      </c>
      <c r="E207" t="b">
        <v>1</v>
      </c>
      <c r="F207" t="b">
        <v>1</v>
      </c>
      <c r="G207" t="s">
        <v>489</v>
      </c>
      <c r="H207" t="b">
        <v>0</v>
      </c>
      <c r="I207" t="b">
        <v>0</v>
      </c>
      <c r="J207" t="s">
        <v>1095</v>
      </c>
      <c r="K207">
        <v>0</v>
      </c>
      <c r="M207" t="s">
        <v>626</v>
      </c>
      <c r="Q207">
        <v>0</v>
      </c>
      <c r="R207">
        <v>0</v>
      </c>
      <c r="S207" t="b">
        <v>0</v>
      </c>
      <c r="T207" t="b">
        <f t="shared" si="4"/>
        <v>0</v>
      </c>
      <c r="U207" t="b">
        <f t="shared" si="5"/>
        <v>1</v>
      </c>
      <c r="V207" t="b">
        <f t="shared" si="6"/>
        <v>0</v>
      </c>
      <c r="W207" t="b">
        <f t="shared" si="7"/>
        <v>0</v>
      </c>
      <c r="X207" t="s">
        <v>758</v>
      </c>
    </row>
    <row r="208" spans="1:24" x14ac:dyDescent="0.25">
      <c r="A208">
        <v>1</v>
      </c>
      <c r="B208" t="s">
        <v>27</v>
      </c>
      <c r="C208">
        <v>31097668</v>
      </c>
      <c r="D208" t="s">
        <v>174</v>
      </c>
      <c r="E208" t="b">
        <v>1</v>
      </c>
      <c r="F208" t="b">
        <v>1</v>
      </c>
      <c r="G208" t="s">
        <v>490</v>
      </c>
      <c r="H208" t="b">
        <v>0</v>
      </c>
      <c r="I208" t="b">
        <v>0</v>
      </c>
      <c r="J208" t="s">
        <v>1086</v>
      </c>
      <c r="K208">
        <v>0</v>
      </c>
      <c r="M208" t="s">
        <v>627</v>
      </c>
      <c r="O208" t="s">
        <v>1057</v>
      </c>
      <c r="Q208">
        <v>0</v>
      </c>
      <c r="R208">
        <v>0</v>
      </c>
      <c r="S208" t="b">
        <v>0</v>
      </c>
      <c r="T208" t="b">
        <f t="shared" si="4"/>
        <v>0</v>
      </c>
      <c r="U208" t="b">
        <f t="shared" si="5"/>
        <v>1</v>
      </c>
      <c r="V208" t="b">
        <f t="shared" si="6"/>
        <v>0</v>
      </c>
      <c r="W208" t="b">
        <f t="shared" si="7"/>
        <v>0</v>
      </c>
      <c r="X208" t="s">
        <v>759</v>
      </c>
    </row>
    <row r="209" spans="1:24" x14ac:dyDescent="0.25">
      <c r="A209">
        <v>1</v>
      </c>
      <c r="B209" t="s">
        <v>27</v>
      </c>
      <c r="C209">
        <v>31097668</v>
      </c>
      <c r="D209" t="s">
        <v>172</v>
      </c>
      <c r="E209" t="b">
        <v>1</v>
      </c>
      <c r="F209" t="b">
        <v>1</v>
      </c>
      <c r="G209" t="s">
        <v>489</v>
      </c>
      <c r="H209" t="b">
        <v>0</v>
      </c>
      <c r="I209" t="b">
        <v>0</v>
      </c>
      <c r="J209" t="s">
        <v>1103</v>
      </c>
      <c r="K209">
        <v>0</v>
      </c>
      <c r="L209" t="s">
        <v>569</v>
      </c>
      <c r="M209" t="s">
        <v>626</v>
      </c>
      <c r="N209" t="s">
        <v>675</v>
      </c>
      <c r="O209" t="s">
        <v>675</v>
      </c>
      <c r="Q209">
        <v>0</v>
      </c>
      <c r="R209">
        <v>0</v>
      </c>
      <c r="S209" t="b">
        <v>0</v>
      </c>
      <c r="T209" t="b">
        <f t="shared" si="4"/>
        <v>0</v>
      </c>
      <c r="U209" t="b">
        <f t="shared" si="5"/>
        <v>1</v>
      </c>
      <c r="V209" t="b">
        <f t="shared" si="6"/>
        <v>0</v>
      </c>
      <c r="W209" t="b">
        <f t="shared" si="7"/>
        <v>0</v>
      </c>
      <c r="X209" t="s">
        <v>757</v>
      </c>
    </row>
    <row r="210" spans="1:24" x14ac:dyDescent="0.25">
      <c r="A210">
        <v>1</v>
      </c>
      <c r="B210" t="s">
        <v>28</v>
      </c>
      <c r="C210">
        <v>33243861</v>
      </c>
      <c r="D210" t="s">
        <v>421</v>
      </c>
      <c r="E210" t="b">
        <v>1</v>
      </c>
      <c r="F210" t="b">
        <v>1</v>
      </c>
      <c r="G210" t="s">
        <v>545</v>
      </c>
      <c r="H210" t="b">
        <v>0</v>
      </c>
      <c r="I210" t="b">
        <v>0</v>
      </c>
      <c r="J210" t="s">
        <v>1095</v>
      </c>
      <c r="K210">
        <v>0</v>
      </c>
      <c r="L210" t="s">
        <v>580</v>
      </c>
      <c r="M210" t="s">
        <v>656</v>
      </c>
      <c r="Q210">
        <v>0</v>
      </c>
      <c r="R210">
        <v>0</v>
      </c>
      <c r="S210" t="b">
        <v>0</v>
      </c>
      <c r="T210" t="b">
        <f t="shared" si="4"/>
        <v>0</v>
      </c>
      <c r="U210" t="b">
        <f t="shared" si="5"/>
        <v>1</v>
      </c>
      <c r="V210" t="b">
        <f t="shared" si="6"/>
        <v>0</v>
      </c>
      <c r="W210" t="b">
        <f t="shared" si="7"/>
        <v>0</v>
      </c>
      <c r="X210" t="s">
        <v>996</v>
      </c>
    </row>
    <row r="211" spans="1:24" x14ac:dyDescent="0.25">
      <c r="A211">
        <v>1</v>
      </c>
      <c r="B211" t="s">
        <v>28</v>
      </c>
      <c r="C211">
        <v>33243861</v>
      </c>
      <c r="D211" t="s">
        <v>423</v>
      </c>
      <c r="E211" t="b">
        <v>1</v>
      </c>
      <c r="F211" t="b">
        <v>1</v>
      </c>
      <c r="G211" t="s">
        <v>545</v>
      </c>
      <c r="H211" t="b">
        <v>0</v>
      </c>
      <c r="I211" t="b">
        <v>0</v>
      </c>
      <c r="J211" t="s">
        <v>1095</v>
      </c>
      <c r="K211">
        <v>0</v>
      </c>
      <c r="L211" t="s">
        <v>11</v>
      </c>
      <c r="M211" t="s">
        <v>656</v>
      </c>
      <c r="Q211">
        <v>0</v>
      </c>
      <c r="R211">
        <v>0</v>
      </c>
      <c r="S211" t="b">
        <v>0</v>
      </c>
      <c r="T211" t="b">
        <f t="shared" si="4"/>
        <v>0</v>
      </c>
      <c r="U211" t="b">
        <f t="shared" si="5"/>
        <v>1</v>
      </c>
      <c r="V211" t="b">
        <f t="shared" si="6"/>
        <v>0</v>
      </c>
      <c r="W211" t="b">
        <f t="shared" si="7"/>
        <v>0</v>
      </c>
      <c r="X211" t="s">
        <v>998</v>
      </c>
    </row>
    <row r="212" spans="1:24" x14ac:dyDescent="0.25">
      <c r="A212">
        <v>1</v>
      </c>
      <c r="B212" t="s">
        <v>28</v>
      </c>
      <c r="C212">
        <v>33243861</v>
      </c>
      <c r="D212" t="s">
        <v>403</v>
      </c>
      <c r="E212" t="b">
        <v>1</v>
      </c>
      <c r="F212" t="b">
        <v>1</v>
      </c>
      <c r="G212" t="s">
        <v>496</v>
      </c>
      <c r="H212" t="b">
        <v>0</v>
      </c>
      <c r="I212" t="b">
        <v>0</v>
      </c>
      <c r="J212" t="s">
        <v>1095</v>
      </c>
      <c r="K212">
        <v>0</v>
      </c>
      <c r="Q212">
        <v>0</v>
      </c>
      <c r="R212">
        <v>0</v>
      </c>
      <c r="S212" t="b">
        <v>0</v>
      </c>
      <c r="T212" t="b">
        <f t="shared" si="4"/>
        <v>0</v>
      </c>
      <c r="U212" t="b">
        <f t="shared" si="5"/>
        <v>1</v>
      </c>
      <c r="V212" t="b">
        <f t="shared" si="6"/>
        <v>0</v>
      </c>
      <c r="W212" t="b">
        <f t="shared" si="7"/>
        <v>0</v>
      </c>
      <c r="X212" t="s">
        <v>979</v>
      </c>
    </row>
    <row r="213" spans="1:24" x14ac:dyDescent="0.25">
      <c r="A213">
        <v>1</v>
      </c>
      <c r="B213" t="s">
        <v>28</v>
      </c>
      <c r="C213">
        <v>33243861</v>
      </c>
      <c r="D213" t="s">
        <v>210</v>
      </c>
      <c r="E213" t="b">
        <v>1</v>
      </c>
      <c r="F213" t="b">
        <v>1</v>
      </c>
      <c r="G213" t="s">
        <v>496</v>
      </c>
      <c r="H213" t="b">
        <v>0</v>
      </c>
      <c r="I213" t="b">
        <v>0</v>
      </c>
      <c r="J213" t="s">
        <v>1095</v>
      </c>
      <c r="K213">
        <v>0</v>
      </c>
      <c r="Q213">
        <v>0</v>
      </c>
      <c r="R213">
        <v>0</v>
      </c>
      <c r="S213" t="b">
        <v>0</v>
      </c>
      <c r="T213" t="b">
        <f t="shared" si="4"/>
        <v>0</v>
      </c>
      <c r="U213" t="b">
        <f t="shared" si="5"/>
        <v>1</v>
      </c>
      <c r="V213" t="b">
        <f t="shared" si="6"/>
        <v>0</v>
      </c>
      <c r="W213" t="b">
        <f t="shared" si="7"/>
        <v>0</v>
      </c>
      <c r="X213" t="s">
        <v>794</v>
      </c>
    </row>
    <row r="214" spans="1:24" x14ac:dyDescent="0.25">
      <c r="A214">
        <v>1</v>
      </c>
      <c r="B214" t="s">
        <v>28</v>
      </c>
      <c r="C214">
        <v>33243861</v>
      </c>
      <c r="D214" t="s">
        <v>208</v>
      </c>
      <c r="E214" t="b">
        <v>1</v>
      </c>
      <c r="F214" t="b">
        <v>1</v>
      </c>
      <c r="G214" t="s">
        <v>496</v>
      </c>
      <c r="H214" t="b">
        <v>0</v>
      </c>
      <c r="I214" t="b">
        <v>0</v>
      </c>
      <c r="J214" t="s">
        <v>1095</v>
      </c>
      <c r="K214">
        <v>0</v>
      </c>
      <c r="Q214">
        <v>0</v>
      </c>
      <c r="R214">
        <v>0</v>
      </c>
      <c r="S214" t="b">
        <v>0</v>
      </c>
      <c r="T214" t="b">
        <f t="shared" ref="T214:T277" si="8">AND(S214,NOT(E214))</f>
        <v>0</v>
      </c>
      <c r="U214" t="b">
        <f t="shared" ref="U214:U277" si="9">AND(E214,NOT(S214))</f>
        <v>1</v>
      </c>
      <c r="V214" t="b">
        <f t="shared" ref="V214:V277" si="10">AND(S214,E214)</f>
        <v>0</v>
      </c>
      <c r="W214" t="b">
        <f t="shared" ref="W214:W277" si="11">AND(NOT(S214),NOT(E214))</f>
        <v>0</v>
      </c>
      <c r="X214" t="s">
        <v>792</v>
      </c>
    </row>
    <row r="215" spans="1:24" x14ac:dyDescent="0.25">
      <c r="A215">
        <v>1</v>
      </c>
      <c r="B215" t="s">
        <v>28</v>
      </c>
      <c r="C215">
        <v>33243861</v>
      </c>
      <c r="D215" t="s">
        <v>206</v>
      </c>
      <c r="E215" t="b">
        <v>1</v>
      </c>
      <c r="F215" t="b">
        <v>1</v>
      </c>
      <c r="G215" t="s">
        <v>496</v>
      </c>
      <c r="H215" t="b">
        <v>0</v>
      </c>
      <c r="I215" t="b">
        <v>0</v>
      </c>
      <c r="J215" t="s">
        <v>1095</v>
      </c>
      <c r="K215">
        <v>0</v>
      </c>
      <c r="M215" t="s">
        <v>633</v>
      </c>
      <c r="Q215">
        <v>0</v>
      </c>
      <c r="R215">
        <v>0</v>
      </c>
      <c r="S215" t="b">
        <v>0</v>
      </c>
      <c r="T215" t="b">
        <f t="shared" si="8"/>
        <v>0</v>
      </c>
      <c r="U215" t="b">
        <f t="shared" si="9"/>
        <v>1</v>
      </c>
      <c r="V215" t="b">
        <f t="shared" si="10"/>
        <v>0</v>
      </c>
      <c r="W215" t="b">
        <f t="shared" si="11"/>
        <v>0</v>
      </c>
      <c r="X215" t="s">
        <v>791</v>
      </c>
    </row>
    <row r="216" spans="1:24" x14ac:dyDescent="0.25">
      <c r="A216">
        <v>1</v>
      </c>
      <c r="B216" t="s">
        <v>28</v>
      </c>
      <c r="C216">
        <v>33243861</v>
      </c>
      <c r="D216" t="s">
        <v>204</v>
      </c>
      <c r="E216" t="b">
        <v>1</v>
      </c>
      <c r="F216" t="b">
        <v>1</v>
      </c>
      <c r="G216" t="s">
        <v>496</v>
      </c>
      <c r="H216" t="b">
        <v>0</v>
      </c>
      <c r="I216" t="b">
        <v>0</v>
      </c>
      <c r="J216" t="s">
        <v>1095</v>
      </c>
      <c r="K216">
        <v>0</v>
      </c>
      <c r="M216" t="s">
        <v>633</v>
      </c>
      <c r="Q216">
        <v>0</v>
      </c>
      <c r="R216">
        <v>0</v>
      </c>
      <c r="S216" t="b">
        <v>0</v>
      </c>
      <c r="T216" t="b">
        <f t="shared" si="8"/>
        <v>0</v>
      </c>
      <c r="U216" t="b">
        <f t="shared" si="9"/>
        <v>1</v>
      </c>
      <c r="V216" t="b">
        <f t="shared" si="10"/>
        <v>0</v>
      </c>
      <c r="W216" t="b">
        <f t="shared" si="11"/>
        <v>0</v>
      </c>
      <c r="X216" t="s">
        <v>789</v>
      </c>
    </row>
    <row r="217" spans="1:24" x14ac:dyDescent="0.25">
      <c r="A217">
        <v>1</v>
      </c>
      <c r="B217" t="s">
        <v>28</v>
      </c>
      <c r="C217">
        <v>33243861</v>
      </c>
      <c r="D217" t="s">
        <v>422</v>
      </c>
      <c r="E217" t="b">
        <v>1</v>
      </c>
      <c r="F217" t="b">
        <v>1</v>
      </c>
      <c r="G217" t="s">
        <v>545</v>
      </c>
      <c r="H217" t="b">
        <v>0</v>
      </c>
      <c r="I217" t="b">
        <v>0</v>
      </c>
      <c r="J217" t="s">
        <v>1104</v>
      </c>
      <c r="K217">
        <v>0</v>
      </c>
      <c r="L217" t="s">
        <v>11</v>
      </c>
      <c r="M217" t="s">
        <v>656</v>
      </c>
      <c r="N217" t="s">
        <v>694</v>
      </c>
      <c r="Q217">
        <v>0</v>
      </c>
      <c r="R217">
        <v>0</v>
      </c>
      <c r="S217" t="b">
        <v>0</v>
      </c>
      <c r="T217" t="b">
        <f t="shared" si="8"/>
        <v>0</v>
      </c>
      <c r="U217" t="b">
        <f t="shared" si="9"/>
        <v>1</v>
      </c>
      <c r="V217" t="b">
        <f t="shared" si="10"/>
        <v>0</v>
      </c>
      <c r="W217" t="b">
        <f t="shared" si="11"/>
        <v>0</v>
      </c>
      <c r="X217" t="s">
        <v>997</v>
      </c>
    </row>
    <row r="218" spans="1:24" x14ac:dyDescent="0.25">
      <c r="A218">
        <v>1</v>
      </c>
      <c r="B218" t="s">
        <v>28</v>
      </c>
      <c r="C218">
        <v>33243861</v>
      </c>
      <c r="D218" t="s">
        <v>424</v>
      </c>
      <c r="E218" t="b">
        <v>0</v>
      </c>
      <c r="F218" t="b">
        <v>1</v>
      </c>
      <c r="G218" t="s">
        <v>545</v>
      </c>
      <c r="H218" t="b">
        <v>0</v>
      </c>
      <c r="I218" t="b">
        <v>0</v>
      </c>
      <c r="J218" t="s">
        <v>1093</v>
      </c>
      <c r="K218" s="2">
        <v>0</v>
      </c>
      <c r="L218" t="s">
        <v>11</v>
      </c>
      <c r="M218" t="s">
        <v>635</v>
      </c>
      <c r="N218" t="s">
        <v>694</v>
      </c>
      <c r="Q218">
        <v>0</v>
      </c>
      <c r="R218">
        <v>0</v>
      </c>
      <c r="S218" t="b">
        <v>1</v>
      </c>
      <c r="T218" t="b">
        <f t="shared" si="8"/>
        <v>1</v>
      </c>
      <c r="U218" t="b">
        <f t="shared" si="9"/>
        <v>0</v>
      </c>
      <c r="V218" t="b">
        <f t="shared" si="10"/>
        <v>0</v>
      </c>
      <c r="W218" t="b">
        <f t="shared" si="11"/>
        <v>0</v>
      </c>
      <c r="X218" t="s">
        <v>999</v>
      </c>
    </row>
    <row r="219" spans="1:24" x14ac:dyDescent="0.25">
      <c r="A219">
        <v>1</v>
      </c>
      <c r="B219" t="s">
        <v>28</v>
      </c>
      <c r="C219">
        <v>33243861</v>
      </c>
      <c r="D219" t="s">
        <v>404</v>
      </c>
      <c r="E219" t="b">
        <v>1</v>
      </c>
      <c r="F219" t="b">
        <v>1</v>
      </c>
      <c r="G219" t="s">
        <v>496</v>
      </c>
      <c r="H219" t="b">
        <v>0</v>
      </c>
      <c r="I219" t="b">
        <v>0</v>
      </c>
      <c r="J219" t="s">
        <v>1095</v>
      </c>
      <c r="K219" s="2">
        <v>0</v>
      </c>
      <c r="M219" t="s">
        <v>614</v>
      </c>
      <c r="N219" t="s">
        <v>683</v>
      </c>
      <c r="Q219">
        <v>0</v>
      </c>
      <c r="R219">
        <v>0</v>
      </c>
      <c r="S219" t="b">
        <v>1</v>
      </c>
      <c r="T219" t="b">
        <f t="shared" si="8"/>
        <v>0</v>
      </c>
      <c r="U219" t="b">
        <f t="shared" si="9"/>
        <v>0</v>
      </c>
      <c r="V219" t="b">
        <f t="shared" si="10"/>
        <v>1</v>
      </c>
      <c r="W219" t="b">
        <f t="shared" si="11"/>
        <v>0</v>
      </c>
      <c r="X219" t="s">
        <v>980</v>
      </c>
    </row>
    <row r="220" spans="1:24" x14ac:dyDescent="0.25">
      <c r="A220">
        <v>1</v>
      </c>
      <c r="B220" t="s">
        <v>28</v>
      </c>
      <c r="C220">
        <v>33243861</v>
      </c>
      <c r="D220" t="s">
        <v>402</v>
      </c>
      <c r="E220" t="b">
        <v>1</v>
      </c>
      <c r="F220" t="b">
        <v>1</v>
      </c>
      <c r="G220" t="s">
        <v>496</v>
      </c>
      <c r="H220" t="b">
        <v>0</v>
      </c>
      <c r="I220" t="b">
        <v>0</v>
      </c>
      <c r="J220" t="s">
        <v>1095</v>
      </c>
      <c r="K220" s="2">
        <v>0</v>
      </c>
      <c r="M220" t="s">
        <v>614</v>
      </c>
      <c r="N220" t="s">
        <v>683</v>
      </c>
      <c r="Q220">
        <v>0</v>
      </c>
      <c r="R220">
        <v>0</v>
      </c>
      <c r="S220" t="b">
        <v>1</v>
      </c>
      <c r="T220" t="b">
        <f t="shared" si="8"/>
        <v>0</v>
      </c>
      <c r="U220" t="b">
        <f t="shared" si="9"/>
        <v>0</v>
      </c>
      <c r="V220" t="b">
        <f t="shared" si="10"/>
        <v>1</v>
      </c>
      <c r="W220" t="b">
        <f t="shared" si="11"/>
        <v>0</v>
      </c>
      <c r="X220" t="s">
        <v>978</v>
      </c>
    </row>
    <row r="221" spans="1:24" x14ac:dyDescent="0.25">
      <c r="A221">
        <v>1</v>
      </c>
      <c r="B221" t="s">
        <v>28</v>
      </c>
      <c r="C221">
        <v>33243861</v>
      </c>
      <c r="D221" t="s">
        <v>209</v>
      </c>
      <c r="E221" t="b">
        <v>1</v>
      </c>
      <c r="F221" t="b">
        <v>1</v>
      </c>
      <c r="G221" t="s">
        <v>496</v>
      </c>
      <c r="H221" t="b">
        <v>0</v>
      </c>
      <c r="I221" t="b">
        <v>0</v>
      </c>
      <c r="J221" t="s">
        <v>1095</v>
      </c>
      <c r="K221" s="2">
        <v>0</v>
      </c>
      <c r="M221" t="s">
        <v>614</v>
      </c>
      <c r="N221" t="s">
        <v>683</v>
      </c>
      <c r="Q221">
        <v>0</v>
      </c>
      <c r="R221">
        <v>0</v>
      </c>
      <c r="S221" t="b">
        <v>1</v>
      </c>
      <c r="T221" t="b">
        <f t="shared" si="8"/>
        <v>0</v>
      </c>
      <c r="U221" t="b">
        <f t="shared" si="9"/>
        <v>0</v>
      </c>
      <c r="V221" t="b">
        <f t="shared" si="10"/>
        <v>1</v>
      </c>
      <c r="W221" t="b">
        <f t="shared" si="11"/>
        <v>0</v>
      </c>
      <c r="X221" t="s">
        <v>793</v>
      </c>
    </row>
    <row r="222" spans="1:24" x14ac:dyDescent="0.25">
      <c r="A222">
        <v>1</v>
      </c>
      <c r="B222" t="s">
        <v>28</v>
      </c>
      <c r="C222">
        <v>33243861</v>
      </c>
      <c r="D222" t="s">
        <v>207</v>
      </c>
      <c r="E222" t="b">
        <v>1</v>
      </c>
      <c r="F222" t="b">
        <v>1</v>
      </c>
      <c r="G222" t="s">
        <v>496</v>
      </c>
      <c r="H222" t="b">
        <v>0</v>
      </c>
      <c r="I222" t="b">
        <v>0</v>
      </c>
      <c r="J222" t="s">
        <v>1095</v>
      </c>
      <c r="K222" s="2">
        <v>0</v>
      </c>
      <c r="M222" t="s">
        <v>614</v>
      </c>
      <c r="N222" t="s">
        <v>683</v>
      </c>
      <c r="Q222">
        <v>0</v>
      </c>
      <c r="R222">
        <v>0</v>
      </c>
      <c r="S222" t="b">
        <v>1</v>
      </c>
      <c r="T222" t="b">
        <f t="shared" si="8"/>
        <v>0</v>
      </c>
      <c r="U222" t="b">
        <f t="shared" si="9"/>
        <v>0</v>
      </c>
      <c r="V222" t="b">
        <f t="shared" si="10"/>
        <v>1</v>
      </c>
      <c r="W222" t="b">
        <f t="shared" si="11"/>
        <v>0</v>
      </c>
      <c r="X222" t="s">
        <v>790</v>
      </c>
    </row>
    <row r="223" spans="1:24" x14ac:dyDescent="0.25">
      <c r="A223">
        <v>1</v>
      </c>
      <c r="B223" t="s">
        <v>28</v>
      </c>
      <c r="C223">
        <v>33243861</v>
      </c>
      <c r="D223" t="s">
        <v>205</v>
      </c>
      <c r="E223" t="b">
        <v>1</v>
      </c>
      <c r="F223" t="b">
        <v>1</v>
      </c>
      <c r="G223" t="s">
        <v>496</v>
      </c>
      <c r="H223" t="b">
        <v>0</v>
      </c>
      <c r="I223" t="b">
        <v>0</v>
      </c>
      <c r="J223" t="s">
        <v>1095</v>
      </c>
      <c r="K223" s="2">
        <v>0</v>
      </c>
      <c r="M223" t="s">
        <v>614</v>
      </c>
      <c r="N223" t="s">
        <v>683</v>
      </c>
      <c r="Q223">
        <v>0</v>
      </c>
      <c r="R223">
        <v>0</v>
      </c>
      <c r="S223" t="b">
        <v>1</v>
      </c>
      <c r="T223" t="b">
        <f t="shared" si="8"/>
        <v>0</v>
      </c>
      <c r="U223" t="b">
        <f t="shared" si="9"/>
        <v>0</v>
      </c>
      <c r="V223" t="b">
        <f t="shared" si="10"/>
        <v>1</v>
      </c>
      <c r="W223" t="b">
        <f t="shared" si="11"/>
        <v>0</v>
      </c>
      <c r="X223" t="s">
        <v>790</v>
      </c>
    </row>
    <row r="224" spans="1:24" x14ac:dyDescent="0.25">
      <c r="A224">
        <v>1</v>
      </c>
      <c r="B224" t="s">
        <v>28</v>
      </c>
      <c r="C224">
        <v>33243861</v>
      </c>
      <c r="D224" t="s">
        <v>408</v>
      </c>
      <c r="E224" t="b">
        <v>1</v>
      </c>
      <c r="F224" t="b">
        <v>1</v>
      </c>
      <c r="G224" t="s">
        <v>540</v>
      </c>
      <c r="H224" t="b">
        <v>0</v>
      </c>
      <c r="I224" t="b">
        <v>0</v>
      </c>
      <c r="J224" t="s">
        <v>1086</v>
      </c>
      <c r="K224">
        <v>0</v>
      </c>
      <c r="L224" t="s">
        <v>580</v>
      </c>
      <c r="M224" t="s">
        <v>614</v>
      </c>
      <c r="N224" t="s">
        <v>693</v>
      </c>
      <c r="Q224">
        <v>0</v>
      </c>
      <c r="R224">
        <v>0</v>
      </c>
      <c r="S224" t="b">
        <v>0</v>
      </c>
      <c r="T224" t="b">
        <f t="shared" si="8"/>
        <v>0</v>
      </c>
      <c r="U224" t="b">
        <f t="shared" si="9"/>
        <v>1</v>
      </c>
      <c r="V224" t="b">
        <f t="shared" si="10"/>
        <v>0</v>
      </c>
      <c r="W224" t="b">
        <f t="shared" si="11"/>
        <v>0</v>
      </c>
      <c r="X224" t="s">
        <v>985</v>
      </c>
    </row>
    <row r="225" spans="1:24" x14ac:dyDescent="0.25">
      <c r="A225">
        <v>1</v>
      </c>
      <c r="B225" t="s">
        <v>28</v>
      </c>
      <c r="C225">
        <v>33243861</v>
      </c>
      <c r="D225" t="s">
        <v>407</v>
      </c>
      <c r="E225" t="b">
        <v>1</v>
      </c>
      <c r="F225" t="b">
        <v>1</v>
      </c>
      <c r="G225" t="s">
        <v>540</v>
      </c>
      <c r="H225" t="b">
        <v>0</v>
      </c>
      <c r="I225" t="b">
        <v>0</v>
      </c>
      <c r="J225" t="s">
        <v>1086</v>
      </c>
      <c r="K225">
        <v>0</v>
      </c>
      <c r="L225" t="s">
        <v>11</v>
      </c>
      <c r="M225" t="s">
        <v>614</v>
      </c>
      <c r="Q225">
        <v>0</v>
      </c>
      <c r="R225">
        <v>0</v>
      </c>
      <c r="S225" t="b">
        <v>1</v>
      </c>
      <c r="T225" t="b">
        <f t="shared" si="8"/>
        <v>0</v>
      </c>
      <c r="U225" t="b">
        <f t="shared" si="9"/>
        <v>0</v>
      </c>
      <c r="V225" t="b">
        <f t="shared" si="10"/>
        <v>1</v>
      </c>
      <c r="W225" t="b">
        <f t="shared" si="11"/>
        <v>0</v>
      </c>
      <c r="X225" t="s">
        <v>984</v>
      </c>
    </row>
    <row r="226" spans="1:24" x14ac:dyDescent="0.25">
      <c r="A226">
        <v>1</v>
      </c>
      <c r="B226" t="s">
        <v>28</v>
      </c>
      <c r="C226">
        <v>33243861</v>
      </c>
      <c r="D226" t="s">
        <v>409</v>
      </c>
      <c r="E226" t="b">
        <v>1</v>
      </c>
      <c r="F226" t="b">
        <v>1</v>
      </c>
      <c r="G226" t="s">
        <v>540</v>
      </c>
      <c r="H226" t="b">
        <v>0</v>
      </c>
      <c r="I226" t="b">
        <v>0</v>
      </c>
      <c r="J226" t="s">
        <v>1095</v>
      </c>
      <c r="K226">
        <v>2</v>
      </c>
      <c r="Q226">
        <v>0</v>
      </c>
      <c r="R226">
        <v>0</v>
      </c>
      <c r="S226" t="b">
        <v>0</v>
      </c>
      <c r="T226" t="b">
        <f t="shared" si="8"/>
        <v>0</v>
      </c>
      <c r="U226" t="b">
        <f t="shared" si="9"/>
        <v>1</v>
      </c>
      <c r="V226" t="b">
        <f t="shared" si="10"/>
        <v>0</v>
      </c>
      <c r="W226" t="b">
        <f t="shared" si="11"/>
        <v>0</v>
      </c>
      <c r="X226" t="s">
        <v>986</v>
      </c>
    </row>
    <row r="227" spans="1:24" x14ac:dyDescent="0.25">
      <c r="A227">
        <v>1</v>
      </c>
      <c r="B227" t="s">
        <v>28</v>
      </c>
      <c r="C227">
        <v>33243861</v>
      </c>
      <c r="D227" t="s">
        <v>405</v>
      </c>
      <c r="E227" t="b">
        <v>1</v>
      </c>
      <c r="F227" t="b">
        <v>1</v>
      </c>
      <c r="G227" t="s">
        <v>496</v>
      </c>
      <c r="H227" t="b">
        <v>0</v>
      </c>
      <c r="I227" t="b">
        <v>0</v>
      </c>
      <c r="J227" t="s">
        <v>1095</v>
      </c>
      <c r="K227">
        <v>6</v>
      </c>
      <c r="M227" t="s">
        <v>614</v>
      </c>
      <c r="Q227">
        <v>0</v>
      </c>
      <c r="R227">
        <v>0</v>
      </c>
      <c r="S227" t="b">
        <v>0</v>
      </c>
      <c r="T227" t="b">
        <f t="shared" si="8"/>
        <v>0</v>
      </c>
      <c r="U227" t="b">
        <f t="shared" si="9"/>
        <v>1</v>
      </c>
      <c r="V227" t="b">
        <f t="shared" si="10"/>
        <v>0</v>
      </c>
      <c r="W227" t="b">
        <f t="shared" si="11"/>
        <v>0</v>
      </c>
      <c r="X227" t="s">
        <v>981</v>
      </c>
    </row>
    <row r="228" spans="1:24" x14ac:dyDescent="0.25">
      <c r="A228">
        <v>1</v>
      </c>
      <c r="B228" t="s">
        <v>28</v>
      </c>
      <c r="C228">
        <v>33243861</v>
      </c>
      <c r="D228" t="s">
        <v>425</v>
      </c>
      <c r="E228" t="b">
        <v>1</v>
      </c>
      <c r="F228" t="b">
        <v>1</v>
      </c>
      <c r="G228" t="s">
        <v>545</v>
      </c>
      <c r="H228" t="b">
        <v>0</v>
      </c>
      <c r="I228" t="b">
        <v>0</v>
      </c>
      <c r="J228" t="s">
        <v>1095</v>
      </c>
      <c r="K228">
        <v>5</v>
      </c>
      <c r="Q228">
        <v>0</v>
      </c>
      <c r="R228">
        <v>0</v>
      </c>
      <c r="S228" t="b">
        <v>0</v>
      </c>
      <c r="T228" t="b">
        <f t="shared" si="8"/>
        <v>0</v>
      </c>
      <c r="U228" t="b">
        <f t="shared" si="9"/>
        <v>1</v>
      </c>
      <c r="V228" t="b">
        <f t="shared" si="10"/>
        <v>0</v>
      </c>
      <c r="W228" t="b">
        <f t="shared" si="11"/>
        <v>0</v>
      </c>
      <c r="X228" t="s">
        <v>1000</v>
      </c>
    </row>
    <row r="229" spans="1:24" x14ac:dyDescent="0.25">
      <c r="A229">
        <v>1</v>
      </c>
      <c r="B229" t="s">
        <v>28</v>
      </c>
      <c r="C229">
        <v>33243861</v>
      </c>
      <c r="D229" t="s">
        <v>188</v>
      </c>
      <c r="E229" t="b">
        <v>1</v>
      </c>
      <c r="F229" t="b">
        <v>1</v>
      </c>
      <c r="G229" t="s">
        <v>493</v>
      </c>
      <c r="H229" t="b">
        <v>0</v>
      </c>
      <c r="I229" t="b">
        <v>0</v>
      </c>
      <c r="J229" t="s">
        <v>1105</v>
      </c>
      <c r="K229">
        <v>0</v>
      </c>
      <c r="Q229">
        <v>0</v>
      </c>
      <c r="R229">
        <v>0</v>
      </c>
      <c r="S229" t="b">
        <v>0</v>
      </c>
      <c r="T229" t="b">
        <f t="shared" si="8"/>
        <v>0</v>
      </c>
      <c r="U229" t="b">
        <f t="shared" si="9"/>
        <v>1</v>
      </c>
      <c r="V229" t="b">
        <f t="shared" si="10"/>
        <v>0</v>
      </c>
      <c r="W229" t="b">
        <f t="shared" si="11"/>
        <v>0</v>
      </c>
      <c r="X229" t="s">
        <v>773</v>
      </c>
    </row>
    <row r="230" spans="1:24" x14ac:dyDescent="0.25">
      <c r="A230">
        <v>1</v>
      </c>
      <c r="B230" t="s">
        <v>28</v>
      </c>
      <c r="C230">
        <v>33243861</v>
      </c>
      <c r="D230" t="s">
        <v>420</v>
      </c>
      <c r="E230" t="b">
        <v>1</v>
      </c>
      <c r="F230" t="b">
        <v>1</v>
      </c>
      <c r="G230" t="s">
        <v>544</v>
      </c>
      <c r="H230" t="b">
        <v>0</v>
      </c>
      <c r="I230" t="b">
        <v>0</v>
      </c>
      <c r="J230" t="s">
        <v>1105</v>
      </c>
      <c r="K230">
        <v>0</v>
      </c>
      <c r="Q230">
        <v>0</v>
      </c>
      <c r="R230">
        <v>0</v>
      </c>
      <c r="S230" t="b">
        <v>0</v>
      </c>
      <c r="T230" t="b">
        <f t="shared" si="8"/>
        <v>0</v>
      </c>
      <c r="U230" t="b">
        <f t="shared" si="9"/>
        <v>1</v>
      </c>
      <c r="V230" t="b">
        <f t="shared" si="10"/>
        <v>0</v>
      </c>
      <c r="W230" t="b">
        <f t="shared" si="11"/>
        <v>0</v>
      </c>
      <c r="X230" t="s">
        <v>773</v>
      </c>
    </row>
    <row r="231" spans="1:24" x14ac:dyDescent="0.25">
      <c r="A231">
        <v>1</v>
      </c>
      <c r="B231" t="s">
        <v>28</v>
      </c>
      <c r="C231">
        <v>33243861</v>
      </c>
      <c r="D231" t="s">
        <v>417</v>
      </c>
      <c r="E231" t="b">
        <v>1</v>
      </c>
      <c r="F231" t="b">
        <v>1</v>
      </c>
      <c r="G231" t="s">
        <v>541</v>
      </c>
      <c r="H231" t="b">
        <v>0</v>
      </c>
      <c r="I231" t="b">
        <v>0</v>
      </c>
      <c r="J231" t="s">
        <v>1106</v>
      </c>
      <c r="K231">
        <v>1</v>
      </c>
      <c r="L231" t="s">
        <v>11</v>
      </c>
      <c r="M231" t="s">
        <v>656</v>
      </c>
      <c r="N231" t="s">
        <v>687</v>
      </c>
      <c r="Q231">
        <v>0</v>
      </c>
      <c r="R231">
        <v>0</v>
      </c>
      <c r="S231" t="b">
        <v>0</v>
      </c>
      <c r="T231" t="b">
        <f t="shared" si="8"/>
        <v>0</v>
      </c>
      <c r="U231" t="b">
        <f t="shared" si="9"/>
        <v>1</v>
      </c>
      <c r="V231" t="b">
        <f t="shared" si="10"/>
        <v>0</v>
      </c>
      <c r="W231" t="b">
        <f t="shared" si="11"/>
        <v>0</v>
      </c>
      <c r="X231" t="s">
        <v>993</v>
      </c>
    </row>
    <row r="232" spans="1:24" x14ac:dyDescent="0.25">
      <c r="A232">
        <v>1</v>
      </c>
      <c r="B232" t="s">
        <v>28</v>
      </c>
      <c r="C232">
        <v>33243861</v>
      </c>
      <c r="D232" t="s">
        <v>419</v>
      </c>
      <c r="E232" t="b">
        <v>1</v>
      </c>
      <c r="F232" t="b">
        <v>1</v>
      </c>
      <c r="G232" t="s">
        <v>543</v>
      </c>
      <c r="H232" t="b">
        <v>0</v>
      </c>
      <c r="I232" t="b">
        <v>0</v>
      </c>
      <c r="J232" t="s">
        <v>1095</v>
      </c>
      <c r="K232">
        <v>0</v>
      </c>
      <c r="Q232">
        <v>0</v>
      </c>
      <c r="R232">
        <v>0</v>
      </c>
      <c r="S232" t="b">
        <v>0</v>
      </c>
      <c r="T232" t="b">
        <f t="shared" si="8"/>
        <v>0</v>
      </c>
      <c r="U232" t="b">
        <f t="shared" si="9"/>
        <v>1</v>
      </c>
      <c r="V232" t="b">
        <f t="shared" si="10"/>
        <v>0</v>
      </c>
      <c r="W232" t="b">
        <f t="shared" si="11"/>
        <v>0</v>
      </c>
      <c r="X232" t="s">
        <v>995</v>
      </c>
    </row>
    <row r="233" spans="1:24" x14ac:dyDescent="0.25">
      <c r="A233">
        <v>1</v>
      </c>
      <c r="B233" t="s">
        <v>28</v>
      </c>
      <c r="C233">
        <v>33243861</v>
      </c>
      <c r="D233" t="s">
        <v>221</v>
      </c>
      <c r="E233" t="b">
        <v>1</v>
      </c>
      <c r="F233" t="b">
        <v>1</v>
      </c>
      <c r="G233" t="s">
        <v>539</v>
      </c>
      <c r="H233" t="b">
        <v>0</v>
      </c>
      <c r="I233" t="b">
        <v>0</v>
      </c>
      <c r="J233" t="s">
        <v>1095</v>
      </c>
      <c r="K233">
        <v>0</v>
      </c>
      <c r="Q233">
        <v>0</v>
      </c>
      <c r="R233">
        <v>0</v>
      </c>
      <c r="S233" t="b">
        <v>0</v>
      </c>
      <c r="T233" t="b">
        <f t="shared" si="8"/>
        <v>0</v>
      </c>
      <c r="U233" t="b">
        <f t="shared" si="9"/>
        <v>1</v>
      </c>
      <c r="V233" t="b">
        <f t="shared" si="10"/>
        <v>0</v>
      </c>
      <c r="W233" t="b">
        <f t="shared" si="11"/>
        <v>0</v>
      </c>
      <c r="X233" t="s">
        <v>982</v>
      </c>
    </row>
    <row r="234" spans="1:24" x14ac:dyDescent="0.25">
      <c r="A234">
        <v>1</v>
      </c>
      <c r="B234" t="s">
        <v>28</v>
      </c>
      <c r="C234">
        <v>33243861</v>
      </c>
      <c r="D234" t="s">
        <v>418</v>
      </c>
      <c r="E234" t="b">
        <v>0</v>
      </c>
      <c r="F234" t="b">
        <v>1</v>
      </c>
      <c r="G234" t="s">
        <v>542</v>
      </c>
      <c r="H234" t="b">
        <v>0</v>
      </c>
      <c r="I234" t="b">
        <v>0</v>
      </c>
      <c r="J234" t="s">
        <v>1093</v>
      </c>
      <c r="K234" s="5">
        <v>0</v>
      </c>
      <c r="L234" t="s">
        <v>580</v>
      </c>
      <c r="M234" t="s">
        <v>614</v>
      </c>
      <c r="N234" t="s">
        <v>687</v>
      </c>
      <c r="O234" t="s">
        <v>1058</v>
      </c>
      <c r="Q234">
        <v>0</v>
      </c>
      <c r="R234">
        <v>0</v>
      </c>
      <c r="S234" t="b">
        <v>1</v>
      </c>
      <c r="T234" t="b">
        <f t="shared" si="8"/>
        <v>1</v>
      </c>
      <c r="U234" t="b">
        <f t="shared" si="9"/>
        <v>0</v>
      </c>
      <c r="V234" t="b">
        <f t="shared" si="10"/>
        <v>0</v>
      </c>
      <c r="W234" t="b">
        <f t="shared" si="11"/>
        <v>0</v>
      </c>
      <c r="X234" t="s">
        <v>994</v>
      </c>
    </row>
    <row r="235" spans="1:24" x14ac:dyDescent="0.25">
      <c r="A235">
        <v>1</v>
      </c>
      <c r="B235" t="s">
        <v>28</v>
      </c>
      <c r="C235">
        <v>33243861</v>
      </c>
      <c r="D235" t="s">
        <v>406</v>
      </c>
      <c r="E235" t="b">
        <v>1</v>
      </c>
      <c r="F235" t="b">
        <v>1</v>
      </c>
      <c r="G235" t="s">
        <v>539</v>
      </c>
      <c r="H235" t="b">
        <v>0</v>
      </c>
      <c r="I235" t="b">
        <v>0</v>
      </c>
      <c r="J235" t="s">
        <v>1095</v>
      </c>
      <c r="K235">
        <v>0</v>
      </c>
      <c r="Q235">
        <v>0</v>
      </c>
      <c r="R235">
        <v>0</v>
      </c>
      <c r="S235" t="b">
        <v>0</v>
      </c>
      <c r="T235" t="b">
        <f t="shared" si="8"/>
        <v>0</v>
      </c>
      <c r="U235" t="b">
        <f t="shared" si="9"/>
        <v>1</v>
      </c>
      <c r="V235" t="b">
        <f t="shared" si="10"/>
        <v>0</v>
      </c>
      <c r="W235" t="b">
        <f t="shared" si="11"/>
        <v>0</v>
      </c>
      <c r="X235" t="s">
        <v>983</v>
      </c>
    </row>
    <row r="236" spans="1:24" x14ac:dyDescent="0.25">
      <c r="A236">
        <v>1</v>
      </c>
      <c r="B236" t="s">
        <v>28</v>
      </c>
      <c r="C236">
        <v>33243861</v>
      </c>
      <c r="D236" t="s">
        <v>226</v>
      </c>
      <c r="E236" t="b">
        <v>0</v>
      </c>
      <c r="F236" t="b">
        <v>1</v>
      </c>
      <c r="G236" t="s">
        <v>503</v>
      </c>
      <c r="H236" t="b">
        <v>0</v>
      </c>
      <c r="I236" t="b">
        <v>0</v>
      </c>
      <c r="J236" t="s">
        <v>1093</v>
      </c>
      <c r="K236" s="5">
        <v>0</v>
      </c>
      <c r="L236" t="s">
        <v>11</v>
      </c>
      <c r="M236" t="s">
        <v>635</v>
      </c>
      <c r="N236" t="s">
        <v>687</v>
      </c>
      <c r="Q236">
        <v>0</v>
      </c>
      <c r="R236">
        <v>0</v>
      </c>
      <c r="S236" t="b">
        <v>1</v>
      </c>
      <c r="T236" t="b">
        <f t="shared" si="8"/>
        <v>1</v>
      </c>
      <c r="U236" t="b">
        <f t="shared" si="9"/>
        <v>0</v>
      </c>
      <c r="V236" t="b">
        <f t="shared" si="10"/>
        <v>0</v>
      </c>
      <c r="W236" t="b">
        <f t="shared" si="11"/>
        <v>0</v>
      </c>
      <c r="X236" t="s">
        <v>809</v>
      </c>
    </row>
    <row r="237" spans="1:24" x14ac:dyDescent="0.25">
      <c r="A237">
        <v>1</v>
      </c>
      <c r="B237" t="s">
        <v>29</v>
      </c>
      <c r="C237">
        <v>33262327</v>
      </c>
      <c r="D237" t="s">
        <v>222</v>
      </c>
      <c r="E237" t="b">
        <v>1</v>
      </c>
      <c r="F237" t="b">
        <v>1</v>
      </c>
      <c r="G237" t="s">
        <v>501</v>
      </c>
      <c r="H237" t="b">
        <v>0</v>
      </c>
      <c r="I237" t="b">
        <v>0</v>
      </c>
      <c r="J237" t="s">
        <v>1095</v>
      </c>
      <c r="K237">
        <v>0</v>
      </c>
      <c r="Q237">
        <v>0</v>
      </c>
      <c r="R237">
        <v>0</v>
      </c>
      <c r="S237" t="b">
        <v>0</v>
      </c>
      <c r="T237" t="b">
        <f t="shared" si="8"/>
        <v>0</v>
      </c>
      <c r="U237" t="b">
        <f t="shared" si="9"/>
        <v>1</v>
      </c>
      <c r="V237" t="b">
        <f t="shared" si="10"/>
        <v>0</v>
      </c>
      <c r="W237" t="b">
        <f t="shared" si="11"/>
        <v>0</v>
      </c>
      <c r="X237" t="s">
        <v>806</v>
      </c>
    </row>
    <row r="238" spans="1:24" x14ac:dyDescent="0.25">
      <c r="A238">
        <v>1</v>
      </c>
      <c r="B238" t="s">
        <v>29</v>
      </c>
      <c r="C238">
        <v>33262327</v>
      </c>
      <c r="D238" t="s">
        <v>224</v>
      </c>
      <c r="E238" t="b">
        <v>0</v>
      </c>
      <c r="F238" t="b">
        <v>1</v>
      </c>
      <c r="G238" t="s">
        <v>502</v>
      </c>
      <c r="H238" t="b">
        <v>0</v>
      </c>
      <c r="I238" t="b">
        <v>0</v>
      </c>
      <c r="J238" t="s">
        <v>1093</v>
      </c>
      <c r="K238" s="2">
        <v>0</v>
      </c>
      <c r="L238" t="s">
        <v>579</v>
      </c>
      <c r="M238" t="s">
        <v>627</v>
      </c>
      <c r="N238" t="s">
        <v>686</v>
      </c>
      <c r="O238" t="s">
        <v>686</v>
      </c>
      <c r="Q238">
        <v>0</v>
      </c>
      <c r="R238">
        <v>0</v>
      </c>
      <c r="S238" t="b">
        <v>1</v>
      </c>
      <c r="T238" t="b">
        <f t="shared" si="8"/>
        <v>1</v>
      </c>
      <c r="U238" t="b">
        <f t="shared" si="9"/>
        <v>0</v>
      </c>
      <c r="V238" t="b">
        <f t="shared" si="10"/>
        <v>0</v>
      </c>
      <c r="W238" t="b">
        <f t="shared" si="11"/>
        <v>0</v>
      </c>
      <c r="X238" t="s">
        <v>807</v>
      </c>
    </row>
    <row r="239" spans="1:24" x14ac:dyDescent="0.25">
      <c r="A239">
        <v>1</v>
      </c>
      <c r="B239" t="s">
        <v>29</v>
      </c>
      <c r="C239">
        <v>33262327</v>
      </c>
      <c r="D239" t="s">
        <v>221</v>
      </c>
      <c r="E239" t="b">
        <v>1</v>
      </c>
      <c r="F239" t="b">
        <v>1</v>
      </c>
      <c r="G239" t="s">
        <v>500</v>
      </c>
      <c r="H239" t="b">
        <v>0</v>
      </c>
      <c r="I239" t="b">
        <v>0</v>
      </c>
      <c r="J239" t="s">
        <v>1095</v>
      </c>
      <c r="K239">
        <v>0</v>
      </c>
      <c r="M239" t="s">
        <v>621</v>
      </c>
      <c r="Q239">
        <v>0</v>
      </c>
      <c r="R239">
        <v>0</v>
      </c>
      <c r="S239" t="b">
        <v>0</v>
      </c>
      <c r="T239" t="b">
        <f t="shared" si="8"/>
        <v>0</v>
      </c>
      <c r="U239" t="b">
        <f t="shared" si="9"/>
        <v>1</v>
      </c>
      <c r="V239" t="b">
        <f t="shared" si="10"/>
        <v>0</v>
      </c>
      <c r="W239" t="b">
        <f t="shared" si="11"/>
        <v>0</v>
      </c>
      <c r="X239" t="s">
        <v>805</v>
      </c>
    </row>
    <row r="240" spans="1:24" x14ac:dyDescent="0.25">
      <c r="A240">
        <v>1</v>
      </c>
      <c r="B240" t="s">
        <v>29</v>
      </c>
      <c r="C240">
        <v>33262327</v>
      </c>
      <c r="D240" t="s">
        <v>223</v>
      </c>
      <c r="E240" t="b">
        <v>1</v>
      </c>
      <c r="F240" t="b">
        <v>1</v>
      </c>
      <c r="G240" t="s">
        <v>501</v>
      </c>
      <c r="H240" t="b">
        <v>0</v>
      </c>
      <c r="I240" t="b">
        <v>0</v>
      </c>
      <c r="J240" t="s">
        <v>1095</v>
      </c>
      <c r="K240">
        <v>0</v>
      </c>
      <c r="Q240">
        <v>0</v>
      </c>
      <c r="R240">
        <v>0</v>
      </c>
      <c r="S240" t="b">
        <v>0</v>
      </c>
      <c r="T240" t="b">
        <f t="shared" si="8"/>
        <v>0</v>
      </c>
      <c r="U240" t="b">
        <f t="shared" si="9"/>
        <v>1</v>
      </c>
      <c r="V240" t="b">
        <f t="shared" si="10"/>
        <v>0</v>
      </c>
      <c r="W240" t="b">
        <f t="shared" si="11"/>
        <v>0</v>
      </c>
      <c r="X240" t="s">
        <v>806</v>
      </c>
    </row>
    <row r="241" spans="1:24" x14ac:dyDescent="0.25">
      <c r="A241">
        <v>1</v>
      </c>
      <c r="B241" t="s">
        <v>29</v>
      </c>
      <c r="C241">
        <v>33262327</v>
      </c>
      <c r="D241" t="s">
        <v>225</v>
      </c>
      <c r="E241" t="b">
        <v>0</v>
      </c>
      <c r="F241" t="b">
        <v>1</v>
      </c>
      <c r="G241" t="s">
        <v>502</v>
      </c>
      <c r="H241" t="b">
        <v>0</v>
      </c>
      <c r="I241" t="b">
        <v>0</v>
      </c>
      <c r="J241" t="s">
        <v>1093</v>
      </c>
      <c r="K241" s="2">
        <v>0</v>
      </c>
      <c r="L241" t="s">
        <v>579</v>
      </c>
      <c r="M241" t="s">
        <v>627</v>
      </c>
      <c r="N241" t="s">
        <v>686</v>
      </c>
      <c r="O241" t="s">
        <v>686</v>
      </c>
      <c r="Q241">
        <v>0</v>
      </c>
      <c r="R241">
        <v>0</v>
      </c>
      <c r="S241" t="b">
        <v>1</v>
      </c>
      <c r="T241" t="b">
        <f t="shared" si="8"/>
        <v>1</v>
      </c>
      <c r="U241" t="b">
        <f t="shared" si="9"/>
        <v>0</v>
      </c>
      <c r="V241" t="b">
        <f t="shared" si="10"/>
        <v>0</v>
      </c>
      <c r="W241" t="b">
        <f t="shared" si="11"/>
        <v>0</v>
      </c>
      <c r="X241" t="s">
        <v>808</v>
      </c>
    </row>
    <row r="242" spans="1:24" x14ac:dyDescent="0.25">
      <c r="A242">
        <v>1</v>
      </c>
      <c r="B242" t="s">
        <v>30</v>
      </c>
      <c r="C242">
        <v>34535545</v>
      </c>
      <c r="D242" t="s">
        <v>440</v>
      </c>
      <c r="E242" t="b">
        <v>1</v>
      </c>
      <c r="F242" t="b">
        <v>1</v>
      </c>
      <c r="G242" t="s">
        <v>499</v>
      </c>
      <c r="H242" t="b">
        <v>0</v>
      </c>
      <c r="I242" t="b">
        <v>0</v>
      </c>
      <c r="J242" t="s">
        <v>1095</v>
      </c>
      <c r="K242">
        <v>0</v>
      </c>
      <c r="Q242">
        <v>0</v>
      </c>
      <c r="R242">
        <v>0</v>
      </c>
      <c r="S242" t="b">
        <v>0</v>
      </c>
      <c r="T242" t="b">
        <f t="shared" si="8"/>
        <v>0</v>
      </c>
      <c r="U242" t="b">
        <f t="shared" si="9"/>
        <v>1</v>
      </c>
      <c r="V242" t="b">
        <f t="shared" si="10"/>
        <v>0</v>
      </c>
      <c r="W242" t="b">
        <f t="shared" si="11"/>
        <v>0</v>
      </c>
      <c r="X242" t="s">
        <v>1016</v>
      </c>
    </row>
    <row r="243" spans="1:24" x14ac:dyDescent="0.25">
      <c r="A243">
        <v>1</v>
      </c>
      <c r="B243" t="s">
        <v>30</v>
      </c>
      <c r="C243">
        <v>34535545</v>
      </c>
      <c r="D243" t="s">
        <v>220</v>
      </c>
      <c r="E243" t="b">
        <v>1</v>
      </c>
      <c r="F243" t="b">
        <v>1</v>
      </c>
      <c r="G243" t="s">
        <v>499</v>
      </c>
      <c r="H243" t="b">
        <v>0</v>
      </c>
      <c r="I243" t="b">
        <v>0</v>
      </c>
      <c r="J243" t="s">
        <v>1095</v>
      </c>
      <c r="K243">
        <v>3</v>
      </c>
      <c r="O243" t="s">
        <v>1059</v>
      </c>
      <c r="Q243">
        <v>0</v>
      </c>
      <c r="R243">
        <v>0</v>
      </c>
      <c r="S243" t="b">
        <v>0</v>
      </c>
      <c r="T243" t="b">
        <f t="shared" si="8"/>
        <v>0</v>
      </c>
      <c r="U243" t="b">
        <f t="shared" si="9"/>
        <v>1</v>
      </c>
      <c r="V243" t="b">
        <f t="shared" si="10"/>
        <v>0</v>
      </c>
      <c r="W243" t="b">
        <f t="shared" si="11"/>
        <v>0</v>
      </c>
      <c r="X243" t="s">
        <v>804</v>
      </c>
    </row>
    <row r="244" spans="1:24" x14ac:dyDescent="0.25">
      <c r="A244">
        <v>1</v>
      </c>
      <c r="B244" t="s">
        <v>30</v>
      </c>
      <c r="C244">
        <v>34535545</v>
      </c>
      <c r="D244" t="s">
        <v>439</v>
      </c>
      <c r="E244" t="b">
        <v>1</v>
      </c>
      <c r="F244" t="b">
        <v>1</v>
      </c>
      <c r="G244" t="s">
        <v>499</v>
      </c>
      <c r="H244" t="b">
        <v>0</v>
      </c>
      <c r="I244" t="b">
        <v>0</v>
      </c>
      <c r="J244" t="s">
        <v>1095</v>
      </c>
      <c r="K244">
        <v>0</v>
      </c>
      <c r="Q244">
        <v>0</v>
      </c>
      <c r="R244">
        <v>0</v>
      </c>
      <c r="S244" t="b">
        <v>0</v>
      </c>
      <c r="T244" t="b">
        <f t="shared" si="8"/>
        <v>0</v>
      </c>
      <c r="U244" t="b">
        <f t="shared" si="9"/>
        <v>1</v>
      </c>
      <c r="V244" t="b">
        <f t="shared" si="10"/>
        <v>0</v>
      </c>
      <c r="W244" t="b">
        <f t="shared" si="11"/>
        <v>0</v>
      </c>
      <c r="X244" t="s">
        <v>1015</v>
      </c>
    </row>
    <row r="245" spans="1:24" x14ac:dyDescent="0.25">
      <c r="A245">
        <v>1</v>
      </c>
      <c r="B245" t="s">
        <v>30</v>
      </c>
      <c r="C245">
        <v>34535545</v>
      </c>
      <c r="D245" t="s">
        <v>406</v>
      </c>
      <c r="E245" t="b">
        <v>1</v>
      </c>
      <c r="F245" t="b">
        <v>1</v>
      </c>
      <c r="G245" t="s">
        <v>499</v>
      </c>
      <c r="H245" t="b">
        <v>0</v>
      </c>
      <c r="I245" t="b">
        <v>0</v>
      </c>
      <c r="J245" t="s">
        <v>1095</v>
      </c>
      <c r="K245">
        <v>0</v>
      </c>
      <c r="Q245">
        <v>0</v>
      </c>
      <c r="R245">
        <v>0</v>
      </c>
      <c r="S245" t="b">
        <v>0</v>
      </c>
      <c r="T245" t="b">
        <f t="shared" si="8"/>
        <v>0</v>
      </c>
      <c r="U245" t="b">
        <f t="shared" si="9"/>
        <v>1</v>
      </c>
      <c r="V245" t="b">
        <f t="shared" si="10"/>
        <v>0</v>
      </c>
      <c r="W245" t="b">
        <f t="shared" si="11"/>
        <v>0</v>
      </c>
      <c r="X245" t="s">
        <v>1014</v>
      </c>
    </row>
    <row r="246" spans="1:24" x14ac:dyDescent="0.25">
      <c r="A246">
        <v>1</v>
      </c>
      <c r="B246" t="s">
        <v>30</v>
      </c>
      <c r="C246">
        <v>34535545</v>
      </c>
      <c r="D246" t="s">
        <v>438</v>
      </c>
      <c r="E246" t="b">
        <v>1</v>
      </c>
      <c r="F246" t="b">
        <v>1</v>
      </c>
      <c r="G246" t="s">
        <v>499</v>
      </c>
      <c r="H246" t="b">
        <v>0</v>
      </c>
      <c r="I246" t="b">
        <v>0</v>
      </c>
      <c r="J246" t="s">
        <v>1095</v>
      </c>
      <c r="K246">
        <v>0</v>
      </c>
      <c r="L246" t="s">
        <v>601</v>
      </c>
      <c r="M246" t="s">
        <v>617</v>
      </c>
      <c r="Q246">
        <v>0</v>
      </c>
      <c r="R246">
        <v>0</v>
      </c>
      <c r="S246" t="b">
        <v>0</v>
      </c>
      <c r="T246" t="b">
        <f t="shared" si="8"/>
        <v>0</v>
      </c>
      <c r="U246" t="b">
        <f t="shared" si="9"/>
        <v>1</v>
      </c>
      <c r="V246" t="b">
        <f t="shared" si="10"/>
        <v>0</v>
      </c>
      <c r="W246" t="b">
        <f t="shared" si="11"/>
        <v>0</v>
      </c>
      <c r="X246" t="s">
        <v>1013</v>
      </c>
    </row>
    <row r="247" spans="1:24" x14ac:dyDescent="0.25">
      <c r="A247">
        <v>1</v>
      </c>
      <c r="B247" t="s">
        <v>30</v>
      </c>
      <c r="C247">
        <v>34535545</v>
      </c>
      <c r="D247" t="s">
        <v>437</v>
      </c>
      <c r="E247" t="b">
        <v>1</v>
      </c>
      <c r="F247" t="b">
        <v>1</v>
      </c>
      <c r="G247" t="s">
        <v>499</v>
      </c>
      <c r="H247" t="b">
        <v>0</v>
      </c>
      <c r="I247" t="b">
        <v>0</v>
      </c>
      <c r="J247" t="s">
        <v>1095</v>
      </c>
      <c r="K247">
        <v>0</v>
      </c>
      <c r="M247" t="s">
        <v>617</v>
      </c>
      <c r="Q247">
        <v>0</v>
      </c>
      <c r="R247">
        <v>0</v>
      </c>
      <c r="S247" t="b">
        <v>0</v>
      </c>
      <c r="T247" t="b">
        <f t="shared" si="8"/>
        <v>0</v>
      </c>
      <c r="U247" t="b">
        <f t="shared" si="9"/>
        <v>1</v>
      </c>
      <c r="V247" t="b">
        <f t="shared" si="10"/>
        <v>0</v>
      </c>
      <c r="W247" t="b">
        <f t="shared" si="11"/>
        <v>0</v>
      </c>
      <c r="X247" t="s">
        <v>1012</v>
      </c>
    </row>
    <row r="248" spans="1:24" x14ac:dyDescent="0.25">
      <c r="A248">
        <v>1</v>
      </c>
      <c r="B248" t="s">
        <v>30</v>
      </c>
      <c r="C248">
        <v>34535545</v>
      </c>
      <c r="D248" t="s">
        <v>436</v>
      </c>
      <c r="E248" t="b">
        <v>1</v>
      </c>
      <c r="F248" t="b">
        <v>1</v>
      </c>
      <c r="G248" t="s">
        <v>499</v>
      </c>
      <c r="H248" t="b">
        <v>0</v>
      </c>
      <c r="I248" t="b">
        <v>0</v>
      </c>
      <c r="J248" t="s">
        <v>1095</v>
      </c>
      <c r="K248">
        <v>0</v>
      </c>
      <c r="Q248">
        <v>0</v>
      </c>
      <c r="R248">
        <v>0</v>
      </c>
      <c r="S248" t="b">
        <v>0</v>
      </c>
      <c r="T248" t="b">
        <f t="shared" si="8"/>
        <v>0</v>
      </c>
      <c r="U248" t="b">
        <f t="shared" si="9"/>
        <v>1</v>
      </c>
      <c r="V248" t="b">
        <f t="shared" si="10"/>
        <v>0</v>
      </c>
      <c r="W248" t="b">
        <f t="shared" si="11"/>
        <v>0</v>
      </c>
      <c r="X248" t="s">
        <v>1011</v>
      </c>
    </row>
    <row r="249" spans="1:24" x14ac:dyDescent="0.25">
      <c r="A249">
        <v>1</v>
      </c>
      <c r="B249" t="s">
        <v>30</v>
      </c>
      <c r="C249">
        <v>34535545</v>
      </c>
      <c r="D249" t="s">
        <v>435</v>
      </c>
      <c r="E249" t="b">
        <v>0</v>
      </c>
      <c r="F249" t="b">
        <v>1</v>
      </c>
      <c r="G249" t="s">
        <v>499</v>
      </c>
      <c r="H249" t="b">
        <v>0</v>
      </c>
      <c r="I249" t="b">
        <v>0</v>
      </c>
      <c r="J249" t="s">
        <v>1093</v>
      </c>
      <c r="K249" s="2">
        <v>0</v>
      </c>
      <c r="L249" t="s">
        <v>600</v>
      </c>
      <c r="M249" t="s">
        <v>617</v>
      </c>
      <c r="N249" t="s">
        <v>698</v>
      </c>
      <c r="O249" t="s">
        <v>698</v>
      </c>
      <c r="Q249">
        <v>0</v>
      </c>
      <c r="R249">
        <v>0</v>
      </c>
      <c r="S249" t="b">
        <v>1</v>
      </c>
      <c r="T249" t="b">
        <f t="shared" si="8"/>
        <v>1</v>
      </c>
      <c r="U249" t="b">
        <f t="shared" si="9"/>
        <v>0</v>
      </c>
      <c r="V249" t="b">
        <f t="shared" si="10"/>
        <v>0</v>
      </c>
      <c r="W249" t="b">
        <f t="shared" si="11"/>
        <v>0</v>
      </c>
      <c r="X249" t="s">
        <v>1010</v>
      </c>
    </row>
    <row r="250" spans="1:24" x14ac:dyDescent="0.25">
      <c r="A250">
        <v>1</v>
      </c>
      <c r="B250" t="s">
        <v>30</v>
      </c>
      <c r="C250">
        <v>34535545</v>
      </c>
      <c r="D250" t="s">
        <v>434</v>
      </c>
      <c r="E250" t="b">
        <v>0</v>
      </c>
      <c r="F250" t="b">
        <v>1</v>
      </c>
      <c r="G250" t="s">
        <v>499</v>
      </c>
      <c r="H250" t="b">
        <v>0</v>
      </c>
      <c r="I250" t="b">
        <v>0</v>
      </c>
      <c r="J250" t="s">
        <v>1093</v>
      </c>
      <c r="K250" s="2">
        <v>0</v>
      </c>
      <c r="L250" t="s">
        <v>600</v>
      </c>
      <c r="M250" t="s">
        <v>617</v>
      </c>
      <c r="N250" t="s">
        <v>697</v>
      </c>
      <c r="O250" t="s">
        <v>697</v>
      </c>
      <c r="Q250">
        <v>0</v>
      </c>
      <c r="R250">
        <v>0</v>
      </c>
      <c r="S250" t="b">
        <v>1</v>
      </c>
      <c r="T250" t="b">
        <f t="shared" si="8"/>
        <v>1</v>
      </c>
      <c r="U250" t="b">
        <f t="shared" si="9"/>
        <v>0</v>
      </c>
      <c r="V250" t="b">
        <f t="shared" si="10"/>
        <v>0</v>
      </c>
      <c r="W250" t="b">
        <f t="shared" si="11"/>
        <v>0</v>
      </c>
      <c r="X250" t="s">
        <v>1009</v>
      </c>
    </row>
    <row r="251" spans="1:24" x14ac:dyDescent="0.25">
      <c r="A251">
        <v>1</v>
      </c>
      <c r="B251" t="s">
        <v>30</v>
      </c>
      <c r="C251">
        <v>34535545</v>
      </c>
      <c r="D251" t="s">
        <v>433</v>
      </c>
      <c r="E251" t="b">
        <v>0</v>
      </c>
      <c r="F251" t="b">
        <v>1</v>
      </c>
      <c r="G251" t="s">
        <v>499</v>
      </c>
      <c r="H251" t="b">
        <v>0</v>
      </c>
      <c r="I251" t="b">
        <v>0</v>
      </c>
      <c r="J251" t="s">
        <v>1093</v>
      </c>
      <c r="K251" s="2">
        <v>0</v>
      </c>
      <c r="L251" t="s">
        <v>599</v>
      </c>
      <c r="M251" t="s">
        <v>617</v>
      </c>
      <c r="N251" t="s">
        <v>696</v>
      </c>
      <c r="Q251">
        <v>0</v>
      </c>
      <c r="R251">
        <v>0</v>
      </c>
      <c r="S251" t="b">
        <v>1</v>
      </c>
      <c r="T251" t="b">
        <f t="shared" si="8"/>
        <v>1</v>
      </c>
      <c r="U251" t="b">
        <f t="shared" si="9"/>
        <v>0</v>
      </c>
      <c r="V251" t="b">
        <f t="shared" si="10"/>
        <v>0</v>
      </c>
      <c r="W251" t="b">
        <f t="shared" si="11"/>
        <v>0</v>
      </c>
      <c r="X251" t="s">
        <v>1008</v>
      </c>
    </row>
    <row r="252" spans="1:24" x14ac:dyDescent="0.25">
      <c r="A252">
        <v>1</v>
      </c>
      <c r="B252" t="s">
        <v>30</v>
      </c>
      <c r="C252">
        <v>34535545</v>
      </c>
      <c r="D252" t="s">
        <v>242</v>
      </c>
      <c r="E252" t="b">
        <v>1</v>
      </c>
      <c r="F252" t="b">
        <v>1</v>
      </c>
      <c r="G252" t="s">
        <v>499</v>
      </c>
      <c r="H252" t="b">
        <v>0</v>
      </c>
      <c r="I252" t="b">
        <v>0</v>
      </c>
      <c r="J252" t="s">
        <v>1095</v>
      </c>
      <c r="K252">
        <v>0</v>
      </c>
      <c r="M252" t="s">
        <v>617</v>
      </c>
      <c r="Q252">
        <v>0</v>
      </c>
      <c r="R252">
        <v>0</v>
      </c>
      <c r="S252" t="b">
        <v>0</v>
      </c>
      <c r="T252" t="b">
        <f t="shared" si="8"/>
        <v>0</v>
      </c>
      <c r="U252" t="b">
        <f t="shared" si="9"/>
        <v>1</v>
      </c>
      <c r="V252" t="b">
        <f t="shared" si="10"/>
        <v>0</v>
      </c>
      <c r="W252" t="b">
        <f t="shared" si="11"/>
        <v>0</v>
      </c>
      <c r="X252" t="s">
        <v>823</v>
      </c>
    </row>
    <row r="253" spans="1:24" x14ac:dyDescent="0.25">
      <c r="A253">
        <v>1</v>
      </c>
      <c r="B253" t="s">
        <v>31</v>
      </c>
      <c r="C253">
        <v>35962193</v>
      </c>
      <c r="D253" t="s">
        <v>116</v>
      </c>
      <c r="E253" t="b">
        <v>1</v>
      </c>
      <c r="F253" t="b">
        <v>1</v>
      </c>
      <c r="G253" t="s">
        <v>472</v>
      </c>
      <c r="H253" t="b">
        <v>0</v>
      </c>
      <c r="I253" t="b">
        <v>0</v>
      </c>
      <c r="J253" t="s">
        <v>1095</v>
      </c>
      <c r="K253">
        <v>0</v>
      </c>
      <c r="Q253">
        <v>0</v>
      </c>
      <c r="R253">
        <v>0</v>
      </c>
      <c r="S253" t="b">
        <v>0</v>
      </c>
      <c r="T253" t="b">
        <f t="shared" si="8"/>
        <v>0</v>
      </c>
      <c r="U253" t="b">
        <f t="shared" si="9"/>
        <v>1</v>
      </c>
      <c r="V253" t="b">
        <f t="shared" si="10"/>
        <v>0</v>
      </c>
      <c r="W253" t="b">
        <f t="shared" si="11"/>
        <v>0</v>
      </c>
      <c r="X253" t="s">
        <v>703</v>
      </c>
    </row>
    <row r="254" spans="1:24" x14ac:dyDescent="0.25">
      <c r="A254">
        <v>1</v>
      </c>
      <c r="B254" t="s">
        <v>31</v>
      </c>
      <c r="C254">
        <v>35962193</v>
      </c>
      <c r="D254" t="s">
        <v>239</v>
      </c>
      <c r="E254" t="b">
        <v>1</v>
      </c>
      <c r="F254" t="b">
        <v>1</v>
      </c>
      <c r="G254" t="s">
        <v>507</v>
      </c>
      <c r="H254" t="b">
        <v>0</v>
      </c>
      <c r="I254" t="b">
        <v>0</v>
      </c>
      <c r="J254" t="s">
        <v>1095</v>
      </c>
      <c r="K254">
        <v>0</v>
      </c>
      <c r="Q254">
        <v>0</v>
      </c>
      <c r="R254">
        <v>0</v>
      </c>
      <c r="S254" t="b">
        <v>0</v>
      </c>
      <c r="T254" t="b">
        <f t="shared" si="8"/>
        <v>0</v>
      </c>
      <c r="U254" t="b">
        <f t="shared" si="9"/>
        <v>1</v>
      </c>
      <c r="V254" t="b">
        <f t="shared" si="10"/>
        <v>0</v>
      </c>
      <c r="W254" t="b">
        <f t="shared" si="11"/>
        <v>0</v>
      </c>
      <c r="X254" t="s">
        <v>821</v>
      </c>
    </row>
    <row r="255" spans="1:24" x14ac:dyDescent="0.25">
      <c r="A255">
        <v>1</v>
      </c>
      <c r="B255" t="s">
        <v>31</v>
      </c>
      <c r="C255">
        <v>35962193</v>
      </c>
      <c r="D255" t="s">
        <v>238</v>
      </c>
      <c r="E255" t="b">
        <v>1</v>
      </c>
      <c r="F255" t="b">
        <v>1</v>
      </c>
      <c r="G255" t="s">
        <v>507</v>
      </c>
      <c r="H255" t="b">
        <v>0</v>
      </c>
      <c r="I255" t="b">
        <v>0</v>
      </c>
      <c r="J255" t="s">
        <v>1095</v>
      </c>
      <c r="K255">
        <v>0</v>
      </c>
      <c r="M255" t="s">
        <v>637</v>
      </c>
      <c r="Q255">
        <v>0</v>
      </c>
      <c r="R255">
        <v>0</v>
      </c>
      <c r="S255" t="b">
        <v>0</v>
      </c>
      <c r="T255" t="b">
        <f t="shared" si="8"/>
        <v>0</v>
      </c>
      <c r="U255" t="b">
        <f t="shared" si="9"/>
        <v>1</v>
      </c>
      <c r="V255" t="b">
        <f t="shared" si="10"/>
        <v>0</v>
      </c>
      <c r="W255" t="b">
        <f t="shared" si="11"/>
        <v>0</v>
      </c>
      <c r="X255" t="s">
        <v>820</v>
      </c>
    </row>
    <row r="256" spans="1:24" x14ac:dyDescent="0.25">
      <c r="A256">
        <v>1</v>
      </c>
      <c r="B256" t="s">
        <v>31</v>
      </c>
      <c r="C256">
        <v>35962193</v>
      </c>
      <c r="D256" t="s">
        <v>236</v>
      </c>
      <c r="E256" t="b">
        <v>1</v>
      </c>
      <c r="F256" t="b">
        <v>1</v>
      </c>
      <c r="G256" t="s">
        <v>506</v>
      </c>
      <c r="H256" t="b">
        <v>0</v>
      </c>
      <c r="I256" t="b">
        <v>0</v>
      </c>
      <c r="J256" t="s">
        <v>1107</v>
      </c>
      <c r="K256">
        <v>0</v>
      </c>
      <c r="L256" t="s">
        <v>580</v>
      </c>
      <c r="O256" t="s">
        <v>1060</v>
      </c>
      <c r="Q256">
        <v>0</v>
      </c>
      <c r="R256">
        <v>0</v>
      </c>
      <c r="S256" t="b">
        <v>0</v>
      </c>
      <c r="T256" t="b">
        <f t="shared" si="8"/>
        <v>0</v>
      </c>
      <c r="U256" t="b">
        <f t="shared" si="9"/>
        <v>1</v>
      </c>
      <c r="V256" t="b">
        <f t="shared" si="10"/>
        <v>0</v>
      </c>
      <c r="W256" t="b">
        <f t="shared" si="11"/>
        <v>0</v>
      </c>
      <c r="X256" t="s">
        <v>819</v>
      </c>
    </row>
    <row r="257" spans="1:24" x14ac:dyDescent="0.25">
      <c r="A257">
        <v>1</v>
      </c>
      <c r="B257" t="s">
        <v>31</v>
      </c>
      <c r="C257">
        <v>35962193</v>
      </c>
      <c r="D257" t="s">
        <v>455</v>
      </c>
      <c r="E257" t="b">
        <v>1</v>
      </c>
      <c r="F257" t="b">
        <v>1</v>
      </c>
      <c r="G257" t="s">
        <v>506</v>
      </c>
      <c r="H257" t="b">
        <v>0</v>
      </c>
      <c r="I257" t="b">
        <v>0</v>
      </c>
      <c r="J257" t="s">
        <v>1095</v>
      </c>
      <c r="K257">
        <v>0</v>
      </c>
      <c r="L257" t="s">
        <v>604</v>
      </c>
      <c r="Q257">
        <v>0</v>
      </c>
      <c r="R257">
        <v>0</v>
      </c>
      <c r="S257" t="b">
        <v>0</v>
      </c>
      <c r="T257" t="b">
        <f t="shared" si="8"/>
        <v>0</v>
      </c>
      <c r="U257" t="b">
        <f t="shared" si="9"/>
        <v>1</v>
      </c>
      <c r="V257" t="b">
        <f t="shared" si="10"/>
        <v>0</v>
      </c>
      <c r="W257" t="b">
        <f t="shared" si="11"/>
        <v>0</v>
      </c>
      <c r="X257" t="s">
        <v>1026</v>
      </c>
    </row>
    <row r="258" spans="1:24" x14ac:dyDescent="0.25">
      <c r="A258">
        <v>1</v>
      </c>
      <c r="B258" t="s">
        <v>31</v>
      </c>
      <c r="C258">
        <v>35962193</v>
      </c>
      <c r="D258" t="s">
        <v>257</v>
      </c>
      <c r="E258" t="b">
        <v>1</v>
      </c>
      <c r="F258" t="b">
        <v>1</v>
      </c>
      <c r="G258" t="s">
        <v>513</v>
      </c>
      <c r="H258" t="b">
        <v>0</v>
      </c>
      <c r="I258" t="b">
        <v>0</v>
      </c>
      <c r="J258" t="s">
        <v>1108</v>
      </c>
      <c r="K258">
        <v>0</v>
      </c>
      <c r="O258" t="s">
        <v>1061</v>
      </c>
      <c r="Q258">
        <v>0</v>
      </c>
      <c r="R258">
        <v>0</v>
      </c>
      <c r="S258" t="b">
        <v>0</v>
      </c>
      <c r="T258" t="b">
        <f t="shared" si="8"/>
        <v>0</v>
      </c>
      <c r="U258" t="b">
        <f t="shared" si="9"/>
        <v>1</v>
      </c>
      <c r="V258" t="b">
        <f t="shared" si="10"/>
        <v>0</v>
      </c>
      <c r="W258" t="b">
        <f t="shared" si="11"/>
        <v>0</v>
      </c>
      <c r="X258" t="s">
        <v>837</v>
      </c>
    </row>
    <row r="259" spans="1:24" x14ac:dyDescent="0.25">
      <c r="A259">
        <v>1</v>
      </c>
      <c r="B259" t="s">
        <v>31</v>
      </c>
      <c r="C259">
        <v>35962193</v>
      </c>
      <c r="D259" t="s">
        <v>115</v>
      </c>
      <c r="E259" t="b">
        <v>1</v>
      </c>
      <c r="F259" t="b">
        <v>1</v>
      </c>
      <c r="G259" t="s">
        <v>472</v>
      </c>
      <c r="H259" t="b">
        <v>0</v>
      </c>
      <c r="I259" t="b">
        <v>0</v>
      </c>
      <c r="J259" t="s">
        <v>1109</v>
      </c>
      <c r="K259">
        <v>0</v>
      </c>
      <c r="Q259">
        <v>0</v>
      </c>
      <c r="R259">
        <v>0</v>
      </c>
      <c r="S259" t="b">
        <v>0</v>
      </c>
      <c r="T259" t="b">
        <f t="shared" si="8"/>
        <v>0</v>
      </c>
      <c r="U259" t="b">
        <f t="shared" si="9"/>
        <v>1</v>
      </c>
      <c r="V259" t="b">
        <f t="shared" si="10"/>
        <v>0</v>
      </c>
      <c r="W259" t="b">
        <f t="shared" si="11"/>
        <v>0</v>
      </c>
      <c r="X259" t="s">
        <v>702</v>
      </c>
    </row>
    <row r="260" spans="1:24" x14ac:dyDescent="0.25">
      <c r="A260">
        <v>1</v>
      </c>
      <c r="B260" t="s">
        <v>31</v>
      </c>
      <c r="C260">
        <v>35962193</v>
      </c>
      <c r="D260" t="s">
        <v>252</v>
      </c>
      <c r="E260" t="b">
        <v>1</v>
      </c>
      <c r="F260" t="b">
        <v>1</v>
      </c>
      <c r="G260" t="s">
        <v>512</v>
      </c>
      <c r="H260" t="b">
        <v>0</v>
      </c>
      <c r="I260" t="b">
        <v>0</v>
      </c>
      <c r="J260" t="s">
        <v>1109</v>
      </c>
      <c r="K260">
        <v>0</v>
      </c>
      <c r="L260" t="s">
        <v>582</v>
      </c>
      <c r="O260" t="s">
        <v>1061</v>
      </c>
      <c r="Q260">
        <v>0</v>
      </c>
      <c r="R260">
        <v>0</v>
      </c>
      <c r="S260" t="b">
        <v>0</v>
      </c>
      <c r="T260" t="b">
        <f t="shared" si="8"/>
        <v>0</v>
      </c>
      <c r="U260" t="b">
        <f t="shared" si="9"/>
        <v>1</v>
      </c>
      <c r="V260" t="b">
        <f t="shared" si="10"/>
        <v>0</v>
      </c>
      <c r="W260" t="b">
        <f t="shared" si="11"/>
        <v>0</v>
      </c>
      <c r="X260" t="s">
        <v>833</v>
      </c>
    </row>
    <row r="261" spans="1:24" x14ac:dyDescent="0.25">
      <c r="A261">
        <v>1</v>
      </c>
      <c r="B261" t="s">
        <v>31</v>
      </c>
      <c r="C261">
        <v>35962193</v>
      </c>
      <c r="D261" t="s">
        <v>121</v>
      </c>
      <c r="E261" t="b">
        <v>1</v>
      </c>
      <c r="F261" t="b">
        <v>1</v>
      </c>
      <c r="G261" t="s">
        <v>474</v>
      </c>
      <c r="H261" t="b">
        <v>0</v>
      </c>
      <c r="I261" t="b">
        <v>0</v>
      </c>
      <c r="J261" t="s">
        <v>1095</v>
      </c>
      <c r="K261">
        <v>0</v>
      </c>
      <c r="L261" t="s">
        <v>556</v>
      </c>
      <c r="M261" t="s">
        <v>609</v>
      </c>
      <c r="Q261">
        <v>0</v>
      </c>
      <c r="R261">
        <v>0</v>
      </c>
      <c r="S261" t="b">
        <v>0</v>
      </c>
      <c r="T261" t="b">
        <f t="shared" si="8"/>
        <v>0</v>
      </c>
      <c r="U261" t="b">
        <f t="shared" si="9"/>
        <v>1</v>
      </c>
      <c r="V261" t="b">
        <f t="shared" si="10"/>
        <v>0</v>
      </c>
      <c r="W261" t="b">
        <f t="shared" si="11"/>
        <v>0</v>
      </c>
      <c r="X261" t="s">
        <v>707</v>
      </c>
    </row>
    <row r="262" spans="1:24" x14ac:dyDescent="0.25">
      <c r="A262">
        <v>1</v>
      </c>
      <c r="B262" t="s">
        <v>31</v>
      </c>
      <c r="C262">
        <v>35962193</v>
      </c>
      <c r="D262" t="s">
        <v>122</v>
      </c>
      <c r="E262" t="b">
        <v>0</v>
      </c>
      <c r="F262" t="b">
        <v>1</v>
      </c>
      <c r="G262" t="s">
        <v>474</v>
      </c>
      <c r="H262" t="b">
        <v>0</v>
      </c>
      <c r="I262" t="b">
        <v>0</v>
      </c>
      <c r="J262" t="s">
        <v>1093</v>
      </c>
      <c r="K262" s="2">
        <v>0</v>
      </c>
      <c r="L262" t="s">
        <v>557</v>
      </c>
      <c r="M262" t="s">
        <v>609</v>
      </c>
      <c r="N262" t="s">
        <v>662</v>
      </c>
      <c r="O262" t="s">
        <v>662</v>
      </c>
      <c r="Q262">
        <v>0</v>
      </c>
      <c r="R262">
        <v>0</v>
      </c>
      <c r="S262" t="b">
        <v>1</v>
      </c>
      <c r="T262" t="b">
        <f t="shared" si="8"/>
        <v>1</v>
      </c>
      <c r="U262" t="b">
        <f t="shared" si="9"/>
        <v>0</v>
      </c>
      <c r="V262" t="b">
        <f t="shared" si="10"/>
        <v>0</v>
      </c>
      <c r="W262" t="b">
        <f t="shared" si="11"/>
        <v>0</v>
      </c>
      <c r="X262" t="s">
        <v>708</v>
      </c>
    </row>
    <row r="263" spans="1:24" x14ac:dyDescent="0.25">
      <c r="A263">
        <v>1</v>
      </c>
      <c r="B263" t="s">
        <v>31</v>
      </c>
      <c r="C263">
        <v>35962193</v>
      </c>
      <c r="D263" t="s">
        <v>120</v>
      </c>
      <c r="E263" t="b">
        <v>0</v>
      </c>
      <c r="F263" t="b">
        <v>1</v>
      </c>
      <c r="G263" t="s">
        <v>474</v>
      </c>
      <c r="H263" t="b">
        <v>0</v>
      </c>
      <c r="I263" t="b">
        <v>0</v>
      </c>
      <c r="J263" t="s">
        <v>1110</v>
      </c>
      <c r="K263" s="2">
        <v>0</v>
      </c>
      <c r="L263" t="s">
        <v>555</v>
      </c>
      <c r="M263" t="s">
        <v>609</v>
      </c>
      <c r="N263" t="s">
        <v>661</v>
      </c>
      <c r="Q263">
        <v>0</v>
      </c>
      <c r="R263">
        <v>0</v>
      </c>
      <c r="S263" t="b">
        <v>0</v>
      </c>
      <c r="T263" t="b">
        <f t="shared" si="8"/>
        <v>0</v>
      </c>
      <c r="U263" t="b">
        <f t="shared" si="9"/>
        <v>0</v>
      </c>
      <c r="V263" t="b">
        <f t="shared" si="10"/>
        <v>0</v>
      </c>
      <c r="W263" t="b">
        <f t="shared" si="11"/>
        <v>1</v>
      </c>
      <c r="X263" t="s">
        <v>706</v>
      </c>
    </row>
    <row r="264" spans="1:24" x14ac:dyDescent="0.25">
      <c r="A264">
        <v>1</v>
      </c>
      <c r="B264" t="s">
        <v>31</v>
      </c>
      <c r="C264">
        <v>35962193</v>
      </c>
      <c r="D264" t="s">
        <v>118</v>
      </c>
      <c r="E264" t="b">
        <v>1</v>
      </c>
      <c r="F264" t="b">
        <v>1</v>
      </c>
      <c r="G264" t="s">
        <v>473</v>
      </c>
      <c r="H264" t="b">
        <v>0</v>
      </c>
      <c r="I264" t="b">
        <v>0</v>
      </c>
      <c r="J264" t="s">
        <v>1098</v>
      </c>
      <c r="K264">
        <v>0</v>
      </c>
      <c r="M264" t="s">
        <v>608</v>
      </c>
      <c r="Q264">
        <v>0</v>
      </c>
      <c r="R264">
        <v>0</v>
      </c>
      <c r="S264" t="b">
        <v>0</v>
      </c>
      <c r="T264" t="b">
        <f t="shared" si="8"/>
        <v>0</v>
      </c>
      <c r="U264" t="b">
        <f t="shared" si="9"/>
        <v>1</v>
      </c>
      <c r="V264" t="b">
        <f t="shared" si="10"/>
        <v>0</v>
      </c>
      <c r="W264" t="b">
        <f t="shared" si="11"/>
        <v>0</v>
      </c>
      <c r="X264" t="s">
        <v>705</v>
      </c>
    </row>
    <row r="265" spans="1:24" x14ac:dyDescent="0.25">
      <c r="A265">
        <v>1</v>
      </c>
      <c r="B265" t="s">
        <v>31</v>
      </c>
      <c r="C265">
        <v>35962193</v>
      </c>
      <c r="D265" t="s">
        <v>451</v>
      </c>
      <c r="E265" t="b">
        <v>1</v>
      </c>
      <c r="F265" t="b">
        <v>1</v>
      </c>
      <c r="G265" t="s">
        <v>550</v>
      </c>
      <c r="H265" t="b">
        <v>0</v>
      </c>
      <c r="I265" t="b">
        <v>0</v>
      </c>
      <c r="J265" t="s">
        <v>1098</v>
      </c>
      <c r="K265">
        <v>0</v>
      </c>
      <c r="M265" t="s">
        <v>627</v>
      </c>
      <c r="Q265">
        <v>0</v>
      </c>
      <c r="R265">
        <v>0</v>
      </c>
      <c r="S265" t="b">
        <v>0</v>
      </c>
      <c r="T265" t="b">
        <f t="shared" si="8"/>
        <v>0</v>
      </c>
      <c r="U265" t="b">
        <f t="shared" si="9"/>
        <v>1</v>
      </c>
      <c r="V265" t="b">
        <f t="shared" si="10"/>
        <v>0</v>
      </c>
      <c r="W265" t="b">
        <f t="shared" si="11"/>
        <v>0</v>
      </c>
      <c r="X265" t="s">
        <v>1023</v>
      </c>
    </row>
    <row r="266" spans="1:24" x14ac:dyDescent="0.25">
      <c r="A266">
        <v>1</v>
      </c>
      <c r="B266" t="s">
        <v>31</v>
      </c>
      <c r="C266">
        <v>35962193</v>
      </c>
      <c r="D266" t="s">
        <v>450</v>
      </c>
      <c r="E266" t="b">
        <v>0</v>
      </c>
      <c r="F266" t="b">
        <v>1</v>
      </c>
      <c r="G266" t="s">
        <v>550</v>
      </c>
      <c r="H266" t="b">
        <v>0</v>
      </c>
      <c r="I266" t="b">
        <v>0</v>
      </c>
      <c r="J266" t="s">
        <v>1096</v>
      </c>
      <c r="K266" s="2">
        <v>0</v>
      </c>
      <c r="L266" t="s">
        <v>603</v>
      </c>
      <c r="M266" t="s">
        <v>657</v>
      </c>
      <c r="N266" t="s">
        <v>699</v>
      </c>
      <c r="Q266">
        <v>0</v>
      </c>
      <c r="R266">
        <v>0</v>
      </c>
      <c r="S266" t="b">
        <v>1</v>
      </c>
      <c r="T266" t="b">
        <f t="shared" si="8"/>
        <v>1</v>
      </c>
      <c r="U266" t="b">
        <f t="shared" si="9"/>
        <v>0</v>
      </c>
      <c r="V266" t="b">
        <f t="shared" si="10"/>
        <v>0</v>
      </c>
      <c r="W266" t="b">
        <f t="shared" si="11"/>
        <v>0</v>
      </c>
      <c r="X266" t="s">
        <v>1022</v>
      </c>
    </row>
    <row r="267" spans="1:24" x14ac:dyDescent="0.25">
      <c r="A267">
        <v>1</v>
      </c>
      <c r="B267" t="s">
        <v>31</v>
      </c>
      <c r="C267">
        <v>35962193</v>
      </c>
      <c r="D267" t="s">
        <v>453</v>
      </c>
      <c r="E267" t="b">
        <v>1</v>
      </c>
      <c r="F267" t="b">
        <v>1</v>
      </c>
      <c r="G267" t="s">
        <v>550</v>
      </c>
      <c r="H267" t="b">
        <v>0</v>
      </c>
      <c r="I267" t="b">
        <v>0</v>
      </c>
      <c r="J267" t="s">
        <v>1109</v>
      </c>
      <c r="K267">
        <v>1</v>
      </c>
      <c r="M267" t="s">
        <v>658</v>
      </c>
      <c r="Q267">
        <v>0</v>
      </c>
      <c r="R267">
        <v>0</v>
      </c>
      <c r="S267" t="b">
        <v>0</v>
      </c>
      <c r="T267" t="b">
        <f t="shared" si="8"/>
        <v>0</v>
      </c>
      <c r="U267" t="b">
        <f t="shared" si="9"/>
        <v>1</v>
      </c>
      <c r="V267" t="b">
        <f t="shared" si="10"/>
        <v>0</v>
      </c>
      <c r="W267" t="b">
        <f t="shared" si="11"/>
        <v>0</v>
      </c>
      <c r="X267" t="s">
        <v>1025</v>
      </c>
    </row>
    <row r="268" spans="1:24" x14ac:dyDescent="0.25">
      <c r="A268">
        <v>1</v>
      </c>
      <c r="B268" t="s">
        <v>31</v>
      </c>
      <c r="C268">
        <v>35962193</v>
      </c>
      <c r="D268" t="s">
        <v>254</v>
      </c>
      <c r="E268" t="b">
        <v>1</v>
      </c>
      <c r="F268" t="b">
        <v>1</v>
      </c>
      <c r="G268" t="s">
        <v>512</v>
      </c>
      <c r="H268" t="b">
        <v>0</v>
      </c>
      <c r="I268" t="b">
        <v>0</v>
      </c>
      <c r="J268" t="s">
        <v>1109</v>
      </c>
      <c r="K268">
        <v>0</v>
      </c>
      <c r="L268" t="s">
        <v>583</v>
      </c>
      <c r="M268" t="s">
        <v>641</v>
      </c>
      <c r="Q268">
        <v>0</v>
      </c>
      <c r="R268">
        <v>0</v>
      </c>
      <c r="S268" t="b">
        <v>0</v>
      </c>
      <c r="T268" t="b">
        <f t="shared" si="8"/>
        <v>0</v>
      </c>
      <c r="U268" t="b">
        <f t="shared" si="9"/>
        <v>1</v>
      </c>
      <c r="V268" t="b">
        <f t="shared" si="10"/>
        <v>0</v>
      </c>
      <c r="W268" t="b">
        <f t="shared" si="11"/>
        <v>0</v>
      </c>
      <c r="X268" t="s">
        <v>835</v>
      </c>
    </row>
    <row r="269" spans="1:24" x14ac:dyDescent="0.25">
      <c r="A269">
        <v>1</v>
      </c>
      <c r="B269" t="s">
        <v>31</v>
      </c>
      <c r="C269">
        <v>35962193</v>
      </c>
      <c r="D269" t="s">
        <v>456</v>
      </c>
      <c r="E269" t="b">
        <v>1</v>
      </c>
      <c r="F269" t="b">
        <v>1</v>
      </c>
      <c r="G269" t="s">
        <v>506</v>
      </c>
      <c r="H269" t="b">
        <v>0</v>
      </c>
      <c r="I269" t="b">
        <v>0</v>
      </c>
      <c r="J269" t="s">
        <v>1109</v>
      </c>
      <c r="K269">
        <v>1</v>
      </c>
      <c r="L269" t="s">
        <v>605</v>
      </c>
      <c r="M269" t="s">
        <v>609</v>
      </c>
      <c r="Q269">
        <v>0</v>
      </c>
      <c r="R269">
        <v>0</v>
      </c>
      <c r="S269" t="b">
        <v>0</v>
      </c>
      <c r="T269" t="b">
        <f t="shared" si="8"/>
        <v>0</v>
      </c>
      <c r="U269" t="b">
        <f t="shared" si="9"/>
        <v>1</v>
      </c>
      <c r="V269" t="b">
        <f t="shared" si="10"/>
        <v>0</v>
      </c>
      <c r="W269" t="b">
        <f t="shared" si="11"/>
        <v>0</v>
      </c>
      <c r="X269" t="s">
        <v>1027</v>
      </c>
    </row>
    <row r="270" spans="1:24" x14ac:dyDescent="0.25">
      <c r="A270">
        <v>1</v>
      </c>
      <c r="B270" t="s">
        <v>31</v>
      </c>
      <c r="C270">
        <v>35962193</v>
      </c>
      <c r="D270" t="s">
        <v>253</v>
      </c>
      <c r="E270" t="b">
        <v>1</v>
      </c>
      <c r="F270" t="b">
        <v>1</v>
      </c>
      <c r="G270" t="s">
        <v>512</v>
      </c>
      <c r="H270" t="b">
        <v>0</v>
      </c>
      <c r="I270" t="b">
        <v>0</v>
      </c>
      <c r="J270" t="s">
        <v>1109</v>
      </c>
      <c r="K270">
        <v>0</v>
      </c>
      <c r="O270" t="s">
        <v>1061</v>
      </c>
      <c r="Q270">
        <v>0</v>
      </c>
      <c r="R270">
        <v>0</v>
      </c>
      <c r="S270" t="b">
        <v>0</v>
      </c>
      <c r="T270" t="b">
        <f t="shared" si="8"/>
        <v>0</v>
      </c>
      <c r="U270" t="b">
        <f t="shared" si="9"/>
        <v>1</v>
      </c>
      <c r="V270" t="b">
        <f t="shared" si="10"/>
        <v>0</v>
      </c>
      <c r="W270" t="b">
        <f t="shared" si="11"/>
        <v>0</v>
      </c>
      <c r="X270" t="s">
        <v>834</v>
      </c>
    </row>
    <row r="271" spans="1:24" x14ac:dyDescent="0.25">
      <c r="A271">
        <v>1</v>
      </c>
      <c r="B271" t="s">
        <v>31</v>
      </c>
      <c r="C271">
        <v>35962193</v>
      </c>
      <c r="D271" t="s">
        <v>241</v>
      </c>
      <c r="E271" t="b">
        <v>1</v>
      </c>
      <c r="F271" t="b">
        <v>1</v>
      </c>
      <c r="G271" t="s">
        <v>507</v>
      </c>
      <c r="H271" t="b">
        <v>0</v>
      </c>
      <c r="I271" t="b">
        <v>0</v>
      </c>
      <c r="J271" t="s">
        <v>1111</v>
      </c>
      <c r="K271">
        <v>0</v>
      </c>
      <c r="Q271">
        <v>0</v>
      </c>
      <c r="R271">
        <v>0</v>
      </c>
      <c r="S271" t="b">
        <v>0</v>
      </c>
      <c r="T271" t="b">
        <f t="shared" si="8"/>
        <v>0</v>
      </c>
      <c r="U271" t="b">
        <f t="shared" si="9"/>
        <v>1</v>
      </c>
      <c r="V271" t="b">
        <f t="shared" si="10"/>
        <v>0</v>
      </c>
      <c r="W271" t="b">
        <f t="shared" si="11"/>
        <v>0</v>
      </c>
      <c r="X271" t="s">
        <v>709</v>
      </c>
    </row>
    <row r="272" spans="1:24" x14ac:dyDescent="0.25">
      <c r="A272">
        <v>1</v>
      </c>
      <c r="B272" t="s">
        <v>31</v>
      </c>
      <c r="C272">
        <v>35962193</v>
      </c>
      <c r="D272" t="s">
        <v>237</v>
      </c>
      <c r="E272" t="b">
        <v>1</v>
      </c>
      <c r="F272" t="b">
        <v>1</v>
      </c>
      <c r="G272" t="s">
        <v>506</v>
      </c>
      <c r="H272" t="b">
        <v>0</v>
      </c>
      <c r="I272" t="b">
        <v>0</v>
      </c>
      <c r="J272" t="s">
        <v>1111</v>
      </c>
      <c r="K272">
        <v>0</v>
      </c>
      <c r="Q272">
        <v>0</v>
      </c>
      <c r="R272">
        <v>0</v>
      </c>
      <c r="S272" t="b">
        <v>0</v>
      </c>
      <c r="T272" t="b">
        <f t="shared" si="8"/>
        <v>0</v>
      </c>
      <c r="U272" t="b">
        <f t="shared" si="9"/>
        <v>1</v>
      </c>
      <c r="V272" t="b">
        <f t="shared" si="10"/>
        <v>0</v>
      </c>
      <c r="W272" t="b">
        <f t="shared" si="11"/>
        <v>0</v>
      </c>
      <c r="X272" t="s">
        <v>709</v>
      </c>
    </row>
    <row r="273" spans="1:24" x14ac:dyDescent="0.25">
      <c r="A273">
        <v>1</v>
      </c>
      <c r="B273" t="s">
        <v>31</v>
      </c>
      <c r="C273">
        <v>35962193</v>
      </c>
      <c r="D273" t="s">
        <v>454</v>
      </c>
      <c r="E273" t="b">
        <v>1</v>
      </c>
      <c r="F273" t="b">
        <v>1</v>
      </c>
      <c r="G273" t="s">
        <v>550</v>
      </c>
      <c r="H273" t="b">
        <v>0</v>
      </c>
      <c r="I273" t="b">
        <v>0</v>
      </c>
      <c r="J273" t="s">
        <v>1111</v>
      </c>
      <c r="K273">
        <v>0</v>
      </c>
      <c r="Q273">
        <v>0</v>
      </c>
      <c r="R273">
        <v>0</v>
      </c>
      <c r="S273" t="b">
        <v>0</v>
      </c>
      <c r="T273" t="b">
        <f t="shared" si="8"/>
        <v>0</v>
      </c>
      <c r="U273" t="b">
        <f t="shared" si="9"/>
        <v>1</v>
      </c>
      <c r="V273" t="b">
        <f t="shared" si="10"/>
        <v>0</v>
      </c>
      <c r="W273" t="b">
        <f t="shared" si="11"/>
        <v>0</v>
      </c>
      <c r="X273" t="s">
        <v>704</v>
      </c>
    </row>
    <row r="274" spans="1:24" x14ac:dyDescent="0.25">
      <c r="A274">
        <v>1</v>
      </c>
      <c r="B274" t="s">
        <v>31</v>
      </c>
      <c r="C274">
        <v>35962193</v>
      </c>
      <c r="D274" t="s">
        <v>448</v>
      </c>
      <c r="E274" t="b">
        <v>1</v>
      </c>
      <c r="F274" t="b">
        <v>1</v>
      </c>
      <c r="G274" t="s">
        <v>513</v>
      </c>
      <c r="H274" t="b">
        <v>0</v>
      </c>
      <c r="I274" t="b">
        <v>0</v>
      </c>
      <c r="J274" t="s">
        <v>1111</v>
      </c>
      <c r="K274">
        <v>0</v>
      </c>
      <c r="Q274">
        <v>0</v>
      </c>
      <c r="R274">
        <v>0</v>
      </c>
      <c r="S274" t="b">
        <v>0</v>
      </c>
      <c r="T274" t="b">
        <f t="shared" si="8"/>
        <v>0</v>
      </c>
      <c r="U274" t="b">
        <f t="shared" si="9"/>
        <v>1</v>
      </c>
      <c r="V274" t="b">
        <f t="shared" si="10"/>
        <v>0</v>
      </c>
      <c r="W274" t="b">
        <f t="shared" si="11"/>
        <v>0</v>
      </c>
      <c r="X274" t="s">
        <v>704</v>
      </c>
    </row>
    <row r="275" spans="1:24" x14ac:dyDescent="0.25">
      <c r="A275">
        <v>1</v>
      </c>
      <c r="B275" t="s">
        <v>31</v>
      </c>
      <c r="C275">
        <v>35962193</v>
      </c>
      <c r="D275" t="s">
        <v>255</v>
      </c>
      <c r="E275" t="b">
        <v>1</v>
      </c>
      <c r="F275" t="b">
        <v>1</v>
      </c>
      <c r="G275" t="s">
        <v>512</v>
      </c>
      <c r="H275" t="b">
        <v>0</v>
      </c>
      <c r="I275" t="b">
        <v>0</v>
      </c>
      <c r="J275" t="s">
        <v>1111</v>
      </c>
      <c r="K275">
        <v>0</v>
      </c>
      <c r="Q275">
        <v>0</v>
      </c>
      <c r="R275">
        <v>0</v>
      </c>
      <c r="S275" t="b">
        <v>0</v>
      </c>
      <c r="T275" t="b">
        <f t="shared" si="8"/>
        <v>0</v>
      </c>
      <c r="U275" t="b">
        <f t="shared" si="9"/>
        <v>1</v>
      </c>
      <c r="V275" t="b">
        <f t="shared" si="10"/>
        <v>0</v>
      </c>
      <c r="W275" t="b">
        <f t="shared" si="11"/>
        <v>0</v>
      </c>
      <c r="X275" t="s">
        <v>704</v>
      </c>
    </row>
    <row r="276" spans="1:24" x14ac:dyDescent="0.25">
      <c r="A276">
        <v>1</v>
      </c>
      <c r="B276" t="s">
        <v>31</v>
      </c>
      <c r="C276">
        <v>35962193</v>
      </c>
      <c r="D276" t="s">
        <v>123</v>
      </c>
      <c r="E276" t="b">
        <v>1</v>
      </c>
      <c r="F276" t="b">
        <v>1</v>
      </c>
      <c r="G276" t="s">
        <v>474</v>
      </c>
      <c r="H276" t="b">
        <v>0</v>
      </c>
      <c r="I276" t="b">
        <v>0</v>
      </c>
      <c r="J276" t="s">
        <v>1111</v>
      </c>
      <c r="K276">
        <v>0</v>
      </c>
      <c r="Q276">
        <v>0</v>
      </c>
      <c r="R276">
        <v>0</v>
      </c>
      <c r="S276" t="b">
        <v>0</v>
      </c>
      <c r="T276" t="b">
        <f t="shared" si="8"/>
        <v>0</v>
      </c>
      <c r="U276" t="b">
        <f t="shared" si="9"/>
        <v>1</v>
      </c>
      <c r="V276" t="b">
        <f t="shared" si="10"/>
        <v>0</v>
      </c>
      <c r="W276" t="b">
        <f t="shared" si="11"/>
        <v>0</v>
      </c>
      <c r="X276" t="s">
        <v>709</v>
      </c>
    </row>
    <row r="277" spans="1:24" x14ac:dyDescent="0.25">
      <c r="A277">
        <v>1</v>
      </c>
      <c r="B277" t="s">
        <v>31</v>
      </c>
      <c r="C277">
        <v>35962193</v>
      </c>
      <c r="D277" t="s">
        <v>119</v>
      </c>
      <c r="E277" t="b">
        <v>1</v>
      </c>
      <c r="F277" t="b">
        <v>1</v>
      </c>
      <c r="G277" t="s">
        <v>473</v>
      </c>
      <c r="H277" t="b">
        <v>0</v>
      </c>
      <c r="I277" t="b">
        <v>0</v>
      </c>
      <c r="J277" t="s">
        <v>1111</v>
      </c>
      <c r="K277">
        <v>0</v>
      </c>
      <c r="Q277">
        <v>0</v>
      </c>
      <c r="R277">
        <v>0</v>
      </c>
      <c r="S277" t="b">
        <v>0</v>
      </c>
      <c r="T277" t="b">
        <f t="shared" si="8"/>
        <v>0</v>
      </c>
      <c r="U277" t="b">
        <f t="shared" si="9"/>
        <v>1</v>
      </c>
      <c r="V277" t="b">
        <f t="shared" si="10"/>
        <v>0</v>
      </c>
      <c r="W277" t="b">
        <f t="shared" si="11"/>
        <v>0</v>
      </c>
      <c r="X277" t="s">
        <v>704</v>
      </c>
    </row>
    <row r="278" spans="1:24" x14ac:dyDescent="0.25">
      <c r="A278">
        <v>1</v>
      </c>
      <c r="B278" t="s">
        <v>31</v>
      </c>
      <c r="C278">
        <v>35962193</v>
      </c>
      <c r="D278" t="s">
        <v>117</v>
      </c>
      <c r="E278" t="b">
        <v>1</v>
      </c>
      <c r="F278" t="b">
        <v>1</v>
      </c>
      <c r="G278" t="s">
        <v>472</v>
      </c>
      <c r="H278" t="b">
        <v>0</v>
      </c>
      <c r="I278" t="b">
        <v>0</v>
      </c>
      <c r="J278" t="s">
        <v>1111</v>
      </c>
      <c r="K278">
        <v>0</v>
      </c>
      <c r="Q278">
        <v>0</v>
      </c>
      <c r="R278">
        <v>0</v>
      </c>
      <c r="S278" t="b">
        <v>0</v>
      </c>
      <c r="T278" t="b">
        <f t="shared" ref="T278:T341" si="12">AND(S278,NOT(E278))</f>
        <v>0</v>
      </c>
      <c r="U278" t="b">
        <f t="shared" ref="U278:U341" si="13">AND(E278,NOT(S278))</f>
        <v>1</v>
      </c>
      <c r="V278" t="b">
        <f t="shared" ref="V278:V341" si="14">AND(S278,E278)</f>
        <v>0</v>
      </c>
      <c r="W278" t="b">
        <f t="shared" ref="W278:W341" si="15">AND(NOT(S278),NOT(E278))</f>
        <v>0</v>
      </c>
      <c r="X278" t="s">
        <v>704</v>
      </c>
    </row>
    <row r="279" spans="1:24" x14ac:dyDescent="0.25">
      <c r="A279">
        <v>1</v>
      </c>
      <c r="B279" t="s">
        <v>31</v>
      </c>
      <c r="C279">
        <v>35962193</v>
      </c>
      <c r="D279" t="s">
        <v>256</v>
      </c>
      <c r="E279" t="b">
        <v>1</v>
      </c>
      <c r="F279" t="b">
        <v>1</v>
      </c>
      <c r="G279" t="s">
        <v>513</v>
      </c>
      <c r="H279" t="b">
        <v>0</v>
      </c>
      <c r="I279" t="b">
        <v>0</v>
      </c>
      <c r="J279" t="s">
        <v>1095</v>
      </c>
      <c r="K279">
        <v>0</v>
      </c>
      <c r="L279" t="s">
        <v>568</v>
      </c>
      <c r="Q279">
        <v>0</v>
      </c>
      <c r="R279">
        <v>0</v>
      </c>
      <c r="S279" t="b">
        <v>0</v>
      </c>
      <c r="T279" t="b">
        <f t="shared" si="12"/>
        <v>0</v>
      </c>
      <c r="U279" t="b">
        <f t="shared" si="13"/>
        <v>1</v>
      </c>
      <c r="V279" t="b">
        <f t="shared" si="14"/>
        <v>0</v>
      </c>
      <c r="W279" t="b">
        <f t="shared" si="15"/>
        <v>0</v>
      </c>
      <c r="X279" t="s">
        <v>836</v>
      </c>
    </row>
    <row r="280" spans="1:24" x14ac:dyDescent="0.25">
      <c r="A280">
        <v>1</v>
      </c>
      <c r="B280" t="s">
        <v>31</v>
      </c>
      <c r="C280">
        <v>35962193</v>
      </c>
      <c r="D280" t="s">
        <v>452</v>
      </c>
      <c r="E280" t="b">
        <v>1</v>
      </c>
      <c r="F280" t="b">
        <v>1</v>
      </c>
      <c r="G280" t="s">
        <v>550</v>
      </c>
      <c r="H280" t="b">
        <v>0</v>
      </c>
      <c r="I280" t="b">
        <v>0</v>
      </c>
      <c r="J280" t="s">
        <v>1109</v>
      </c>
      <c r="K280">
        <v>0</v>
      </c>
      <c r="O280" t="s">
        <v>1060</v>
      </c>
      <c r="Q280">
        <v>0</v>
      </c>
      <c r="R280">
        <v>0</v>
      </c>
      <c r="S280" t="b">
        <v>0</v>
      </c>
      <c r="T280" t="b">
        <f t="shared" si="12"/>
        <v>0</v>
      </c>
      <c r="U280" t="b">
        <f t="shared" si="13"/>
        <v>1</v>
      </c>
      <c r="V280" t="b">
        <f t="shared" si="14"/>
        <v>0</v>
      </c>
      <c r="W280" t="b">
        <f t="shared" si="15"/>
        <v>0</v>
      </c>
      <c r="X280" t="s">
        <v>1024</v>
      </c>
    </row>
    <row r="281" spans="1:24" x14ac:dyDescent="0.25">
      <c r="A281">
        <v>1</v>
      </c>
      <c r="B281" t="s">
        <v>31</v>
      </c>
      <c r="C281">
        <v>35962193</v>
      </c>
      <c r="D281" t="s">
        <v>240</v>
      </c>
      <c r="E281" t="b">
        <v>1</v>
      </c>
      <c r="F281" t="b">
        <v>1</v>
      </c>
      <c r="G281" t="s">
        <v>507</v>
      </c>
      <c r="H281" t="b">
        <v>0</v>
      </c>
      <c r="I281" t="b">
        <v>0</v>
      </c>
      <c r="J281" t="s">
        <v>1090</v>
      </c>
      <c r="K281">
        <v>0</v>
      </c>
      <c r="O281" t="s">
        <v>1062</v>
      </c>
      <c r="Q281">
        <v>0</v>
      </c>
      <c r="R281">
        <v>0</v>
      </c>
      <c r="S281" t="b">
        <v>0</v>
      </c>
      <c r="T281" t="b">
        <f t="shared" si="12"/>
        <v>0</v>
      </c>
      <c r="U281" t="b">
        <f t="shared" si="13"/>
        <v>1</v>
      </c>
      <c r="V281" t="b">
        <f t="shared" si="14"/>
        <v>0</v>
      </c>
      <c r="W281" t="b">
        <f t="shared" si="15"/>
        <v>0</v>
      </c>
      <c r="X281" t="s">
        <v>822</v>
      </c>
    </row>
    <row r="282" spans="1:24" x14ac:dyDescent="0.25">
      <c r="A282">
        <v>1</v>
      </c>
      <c r="B282" t="s">
        <v>31</v>
      </c>
      <c r="C282">
        <v>35962193</v>
      </c>
      <c r="D282" t="s">
        <v>258</v>
      </c>
      <c r="E282" t="b">
        <v>1</v>
      </c>
      <c r="F282" t="b">
        <v>1</v>
      </c>
      <c r="G282" t="s">
        <v>513</v>
      </c>
      <c r="H282" t="b">
        <v>0</v>
      </c>
      <c r="I282" t="b">
        <v>0</v>
      </c>
      <c r="J282" t="s">
        <v>1090</v>
      </c>
      <c r="K282">
        <v>0</v>
      </c>
      <c r="O282" t="s">
        <v>1063</v>
      </c>
      <c r="Q282">
        <v>0</v>
      </c>
      <c r="R282">
        <v>0</v>
      </c>
      <c r="S282" t="b">
        <v>0</v>
      </c>
      <c r="T282" t="b">
        <f t="shared" si="12"/>
        <v>0</v>
      </c>
      <c r="U282" t="b">
        <f t="shared" si="13"/>
        <v>1</v>
      </c>
      <c r="V282" t="b">
        <f t="shared" si="14"/>
        <v>0</v>
      </c>
      <c r="W282" t="b">
        <f t="shared" si="15"/>
        <v>0</v>
      </c>
      <c r="X282" t="s">
        <v>838</v>
      </c>
    </row>
    <row r="283" spans="1:24" x14ac:dyDescent="0.25">
      <c r="A283">
        <v>1</v>
      </c>
      <c r="B283" t="s">
        <v>31</v>
      </c>
      <c r="C283">
        <v>35962193</v>
      </c>
      <c r="D283" t="s">
        <v>449</v>
      </c>
      <c r="E283" t="b">
        <v>0</v>
      </c>
      <c r="F283" t="b">
        <v>1</v>
      </c>
      <c r="G283" t="s">
        <v>550</v>
      </c>
      <c r="H283" t="b">
        <v>0</v>
      </c>
      <c r="I283" t="b">
        <v>0</v>
      </c>
      <c r="J283" t="s">
        <v>1093</v>
      </c>
      <c r="K283" s="2">
        <v>0</v>
      </c>
      <c r="L283" t="s">
        <v>602</v>
      </c>
      <c r="M283" t="s">
        <v>657</v>
      </c>
      <c r="N283" t="s">
        <v>676</v>
      </c>
      <c r="O283" t="s">
        <v>676</v>
      </c>
      <c r="Q283">
        <v>0</v>
      </c>
      <c r="R283">
        <v>0</v>
      </c>
      <c r="S283" t="b">
        <v>1</v>
      </c>
      <c r="T283" t="b">
        <f t="shared" si="12"/>
        <v>1</v>
      </c>
      <c r="U283" t="b">
        <f t="shared" si="13"/>
        <v>0</v>
      </c>
      <c r="V283" t="b">
        <f t="shared" si="14"/>
        <v>0</v>
      </c>
      <c r="W283" t="b">
        <f t="shared" si="15"/>
        <v>0</v>
      </c>
      <c r="X283" t="s">
        <v>1021</v>
      </c>
    </row>
    <row r="284" spans="1:24" x14ac:dyDescent="0.25">
      <c r="A284">
        <v>1</v>
      </c>
      <c r="B284" t="s">
        <v>22</v>
      </c>
      <c r="C284">
        <v>36323788</v>
      </c>
      <c r="D284" t="s">
        <v>348</v>
      </c>
      <c r="E284" t="b">
        <v>1</v>
      </c>
      <c r="F284" t="b">
        <v>1</v>
      </c>
      <c r="G284" t="s">
        <v>531</v>
      </c>
      <c r="H284" t="b">
        <v>0</v>
      </c>
      <c r="I284" t="b">
        <v>0</v>
      </c>
      <c r="J284" t="s">
        <v>1090</v>
      </c>
      <c r="K284">
        <v>1</v>
      </c>
      <c r="Q284">
        <v>0</v>
      </c>
      <c r="R284">
        <v>0</v>
      </c>
      <c r="S284" t="b">
        <v>0</v>
      </c>
      <c r="T284" t="b">
        <f t="shared" si="12"/>
        <v>0</v>
      </c>
      <c r="U284" t="b">
        <f t="shared" si="13"/>
        <v>1</v>
      </c>
      <c r="V284" t="b">
        <f t="shared" si="14"/>
        <v>0</v>
      </c>
      <c r="W284" t="b">
        <f t="shared" si="15"/>
        <v>0</v>
      </c>
      <c r="X284" t="s">
        <v>925</v>
      </c>
    </row>
    <row r="285" spans="1:24" x14ac:dyDescent="0.25">
      <c r="A285">
        <v>1</v>
      </c>
      <c r="B285" t="s">
        <v>22</v>
      </c>
      <c r="C285">
        <v>36323788</v>
      </c>
      <c r="D285" t="s">
        <v>369</v>
      </c>
      <c r="E285" t="b">
        <v>0</v>
      </c>
      <c r="F285" t="b">
        <v>1</v>
      </c>
      <c r="G285" t="s">
        <v>497</v>
      </c>
      <c r="H285" t="b">
        <v>0</v>
      </c>
      <c r="I285" t="b">
        <v>0</v>
      </c>
      <c r="J285" t="s">
        <v>1093</v>
      </c>
      <c r="K285" s="2">
        <v>0</v>
      </c>
      <c r="L285" t="s">
        <v>597</v>
      </c>
      <c r="M285" t="s">
        <v>634</v>
      </c>
      <c r="N285" t="s">
        <v>692</v>
      </c>
      <c r="O285" t="s">
        <v>1064</v>
      </c>
      <c r="Q285">
        <v>0</v>
      </c>
      <c r="R285">
        <v>0</v>
      </c>
      <c r="S285" t="b">
        <v>1</v>
      </c>
      <c r="T285" t="b">
        <f t="shared" si="12"/>
        <v>1</v>
      </c>
      <c r="U285" t="b">
        <f t="shared" si="13"/>
        <v>0</v>
      </c>
      <c r="V285" t="b">
        <f t="shared" si="14"/>
        <v>0</v>
      </c>
      <c r="W285" t="b">
        <f t="shared" si="15"/>
        <v>0</v>
      </c>
      <c r="X285" t="s">
        <v>946</v>
      </c>
    </row>
    <row r="286" spans="1:24" x14ac:dyDescent="0.25">
      <c r="A286">
        <v>1</v>
      </c>
      <c r="B286" t="s">
        <v>22</v>
      </c>
      <c r="C286">
        <v>36323788</v>
      </c>
      <c r="D286" t="s">
        <v>211</v>
      </c>
      <c r="E286" t="b">
        <v>1</v>
      </c>
      <c r="F286" t="b">
        <v>1</v>
      </c>
      <c r="G286" t="s">
        <v>497</v>
      </c>
      <c r="H286" t="b">
        <v>0</v>
      </c>
      <c r="I286" t="b">
        <v>0</v>
      </c>
      <c r="J286" t="s">
        <v>1090</v>
      </c>
      <c r="K286">
        <v>0</v>
      </c>
      <c r="Q286">
        <v>0</v>
      </c>
      <c r="R286">
        <v>0</v>
      </c>
      <c r="S286" t="b">
        <v>0</v>
      </c>
      <c r="T286" t="b">
        <f t="shared" si="12"/>
        <v>0</v>
      </c>
      <c r="U286" t="b">
        <f t="shared" si="13"/>
        <v>1</v>
      </c>
      <c r="V286" t="b">
        <f t="shared" si="14"/>
        <v>0</v>
      </c>
      <c r="W286" t="b">
        <f t="shared" si="15"/>
        <v>0</v>
      </c>
      <c r="X286" t="s">
        <v>795</v>
      </c>
    </row>
    <row r="287" spans="1:24" x14ac:dyDescent="0.25">
      <c r="A287">
        <v>1</v>
      </c>
      <c r="B287" t="s">
        <v>22</v>
      </c>
      <c r="C287">
        <v>36323788</v>
      </c>
      <c r="D287" t="s">
        <v>213</v>
      </c>
      <c r="E287" t="b">
        <v>1</v>
      </c>
      <c r="F287" t="b">
        <v>1</v>
      </c>
      <c r="G287" t="s">
        <v>497</v>
      </c>
      <c r="H287" t="b">
        <v>0</v>
      </c>
      <c r="I287" t="b">
        <v>0</v>
      </c>
      <c r="J287" t="s">
        <v>1090</v>
      </c>
      <c r="K287">
        <v>0</v>
      </c>
      <c r="O287" t="s">
        <v>1065</v>
      </c>
      <c r="Q287">
        <v>0</v>
      </c>
      <c r="R287">
        <v>0</v>
      </c>
      <c r="S287" t="b">
        <v>0</v>
      </c>
      <c r="T287" t="b">
        <f t="shared" si="12"/>
        <v>0</v>
      </c>
      <c r="U287" t="b">
        <f t="shared" si="13"/>
        <v>1</v>
      </c>
      <c r="V287" t="b">
        <f t="shared" si="14"/>
        <v>0</v>
      </c>
      <c r="W287" t="b">
        <f t="shared" si="15"/>
        <v>0</v>
      </c>
      <c r="X287" t="s">
        <v>797</v>
      </c>
    </row>
    <row r="288" spans="1:24" x14ac:dyDescent="0.25">
      <c r="A288">
        <v>1</v>
      </c>
      <c r="B288" t="s">
        <v>22</v>
      </c>
      <c r="C288">
        <v>36323788</v>
      </c>
      <c r="D288" t="s">
        <v>212</v>
      </c>
      <c r="E288" t="b">
        <v>1</v>
      </c>
      <c r="F288" t="b">
        <v>1</v>
      </c>
      <c r="G288" t="s">
        <v>497</v>
      </c>
      <c r="H288" t="b">
        <v>0</v>
      </c>
      <c r="I288" t="b">
        <v>0</v>
      </c>
      <c r="J288" t="s">
        <v>1090</v>
      </c>
      <c r="K288">
        <v>0</v>
      </c>
      <c r="L288" t="s">
        <v>576</v>
      </c>
      <c r="N288" t="s">
        <v>684</v>
      </c>
      <c r="O288" t="s">
        <v>1066</v>
      </c>
      <c r="Q288">
        <v>0</v>
      </c>
      <c r="R288">
        <v>0</v>
      </c>
      <c r="S288" t="b">
        <v>0</v>
      </c>
      <c r="T288" t="b">
        <f t="shared" si="12"/>
        <v>0</v>
      </c>
      <c r="U288" t="b">
        <f t="shared" si="13"/>
        <v>1</v>
      </c>
      <c r="V288" t="b">
        <f t="shared" si="14"/>
        <v>0</v>
      </c>
      <c r="W288" t="b">
        <f t="shared" si="15"/>
        <v>0</v>
      </c>
      <c r="X288" t="s">
        <v>796</v>
      </c>
    </row>
    <row r="289" spans="1:24" x14ac:dyDescent="0.25">
      <c r="A289">
        <v>1</v>
      </c>
      <c r="B289" t="s">
        <v>22</v>
      </c>
      <c r="C289">
        <v>36323788</v>
      </c>
      <c r="D289" t="s">
        <v>368</v>
      </c>
      <c r="E289" t="b">
        <v>1</v>
      </c>
      <c r="F289" t="b">
        <v>1</v>
      </c>
      <c r="G289" t="s">
        <v>497</v>
      </c>
      <c r="H289" t="b">
        <v>0</v>
      </c>
      <c r="I289" t="b">
        <v>0</v>
      </c>
      <c r="J289" t="s">
        <v>1090</v>
      </c>
      <c r="K289">
        <v>0</v>
      </c>
      <c r="O289" t="s">
        <v>1067</v>
      </c>
      <c r="Q289">
        <v>0</v>
      </c>
      <c r="R289">
        <v>0</v>
      </c>
      <c r="S289" t="b">
        <v>0</v>
      </c>
      <c r="T289" t="b">
        <f t="shared" si="12"/>
        <v>0</v>
      </c>
      <c r="U289" t="b">
        <f t="shared" si="13"/>
        <v>1</v>
      </c>
      <c r="V289" t="b">
        <f t="shared" si="14"/>
        <v>0</v>
      </c>
      <c r="W289" t="b">
        <f t="shared" si="15"/>
        <v>0</v>
      </c>
      <c r="X289" t="s">
        <v>945</v>
      </c>
    </row>
    <row r="290" spans="1:24" x14ac:dyDescent="0.25">
      <c r="A290">
        <v>1</v>
      </c>
      <c r="B290" t="s">
        <v>22</v>
      </c>
      <c r="C290">
        <v>36323788</v>
      </c>
      <c r="D290" t="s">
        <v>367</v>
      </c>
      <c r="E290" t="b">
        <v>1</v>
      </c>
      <c r="F290" t="b">
        <v>1</v>
      </c>
      <c r="G290" t="s">
        <v>497</v>
      </c>
      <c r="H290" t="b">
        <v>0</v>
      </c>
      <c r="I290" t="b">
        <v>0</v>
      </c>
      <c r="J290" t="s">
        <v>1104</v>
      </c>
      <c r="K290">
        <v>0</v>
      </c>
      <c r="L290" t="s">
        <v>596</v>
      </c>
      <c r="O290" t="s">
        <v>1068</v>
      </c>
      <c r="Q290">
        <v>0</v>
      </c>
      <c r="R290">
        <v>0</v>
      </c>
      <c r="S290" t="b">
        <v>0</v>
      </c>
      <c r="T290" t="b">
        <f t="shared" si="12"/>
        <v>0</v>
      </c>
      <c r="U290" t="b">
        <f t="shared" si="13"/>
        <v>1</v>
      </c>
      <c r="V290" t="b">
        <f t="shared" si="14"/>
        <v>0</v>
      </c>
      <c r="W290" t="b">
        <f t="shared" si="15"/>
        <v>0</v>
      </c>
      <c r="X290" t="s">
        <v>944</v>
      </c>
    </row>
    <row r="291" spans="1:24" x14ac:dyDescent="0.25">
      <c r="A291">
        <v>1</v>
      </c>
      <c r="B291" t="s">
        <v>22</v>
      </c>
      <c r="C291">
        <v>36323788</v>
      </c>
      <c r="D291" t="s">
        <v>215</v>
      </c>
      <c r="E291" t="b">
        <v>1</v>
      </c>
      <c r="F291" t="b">
        <v>1</v>
      </c>
      <c r="G291" t="s">
        <v>497</v>
      </c>
      <c r="H291" t="b">
        <v>0</v>
      </c>
      <c r="I291" t="b">
        <v>0</v>
      </c>
      <c r="J291" t="s">
        <v>1104</v>
      </c>
      <c r="K291">
        <v>0</v>
      </c>
      <c r="L291" t="s">
        <v>577</v>
      </c>
      <c r="Q291">
        <v>0</v>
      </c>
      <c r="R291">
        <v>0</v>
      </c>
      <c r="S291" t="b">
        <v>0</v>
      </c>
      <c r="T291" t="b">
        <f t="shared" si="12"/>
        <v>0</v>
      </c>
      <c r="U291" t="b">
        <f t="shared" si="13"/>
        <v>1</v>
      </c>
      <c r="V291" t="b">
        <f t="shared" si="14"/>
        <v>0</v>
      </c>
      <c r="W291" t="b">
        <f t="shared" si="15"/>
        <v>0</v>
      </c>
      <c r="X291" t="s">
        <v>799</v>
      </c>
    </row>
    <row r="292" spans="1:24" x14ac:dyDescent="0.25">
      <c r="A292">
        <v>1</v>
      </c>
      <c r="B292" t="s">
        <v>22</v>
      </c>
      <c r="C292">
        <v>36323788</v>
      </c>
      <c r="D292" t="s">
        <v>214</v>
      </c>
      <c r="E292" t="b">
        <v>1</v>
      </c>
      <c r="F292" t="b">
        <v>1</v>
      </c>
      <c r="G292" t="s">
        <v>497</v>
      </c>
      <c r="H292" t="b">
        <v>0</v>
      </c>
      <c r="I292" t="b">
        <v>0</v>
      </c>
      <c r="J292" t="s">
        <v>1090</v>
      </c>
      <c r="K292">
        <v>0</v>
      </c>
      <c r="L292" t="s">
        <v>577</v>
      </c>
      <c r="Q292">
        <v>0</v>
      </c>
      <c r="R292">
        <v>0</v>
      </c>
      <c r="S292" t="b">
        <v>0</v>
      </c>
      <c r="T292" t="b">
        <f t="shared" si="12"/>
        <v>0</v>
      </c>
      <c r="U292" t="b">
        <f t="shared" si="13"/>
        <v>1</v>
      </c>
      <c r="V292" t="b">
        <f t="shared" si="14"/>
        <v>0</v>
      </c>
      <c r="W292" t="b">
        <f t="shared" si="15"/>
        <v>0</v>
      </c>
      <c r="X292" t="s">
        <v>798</v>
      </c>
    </row>
    <row r="293" spans="1:24" x14ac:dyDescent="0.25">
      <c r="A293">
        <v>1</v>
      </c>
      <c r="B293" t="s">
        <v>22</v>
      </c>
      <c r="C293">
        <v>36323788</v>
      </c>
      <c r="D293" t="s">
        <v>351</v>
      </c>
      <c r="E293" t="b">
        <v>1</v>
      </c>
      <c r="F293" t="b">
        <v>1</v>
      </c>
      <c r="G293" t="s">
        <v>531</v>
      </c>
      <c r="H293" t="b">
        <v>0</v>
      </c>
      <c r="I293" t="b">
        <v>0</v>
      </c>
      <c r="J293" t="s">
        <v>1090</v>
      </c>
      <c r="K293">
        <v>0</v>
      </c>
      <c r="Q293">
        <v>0</v>
      </c>
      <c r="R293">
        <v>0</v>
      </c>
      <c r="S293" t="b">
        <v>0</v>
      </c>
      <c r="T293" t="b">
        <f t="shared" si="12"/>
        <v>0</v>
      </c>
      <c r="U293" t="b">
        <f t="shared" si="13"/>
        <v>1</v>
      </c>
      <c r="V293" t="b">
        <f t="shared" si="14"/>
        <v>0</v>
      </c>
      <c r="W293" t="b">
        <f t="shared" si="15"/>
        <v>0</v>
      </c>
      <c r="X293" t="s">
        <v>928</v>
      </c>
    </row>
    <row r="294" spans="1:24" x14ac:dyDescent="0.25">
      <c r="A294">
        <v>1</v>
      </c>
      <c r="B294" t="s">
        <v>22</v>
      </c>
      <c r="C294">
        <v>36323788</v>
      </c>
      <c r="D294" t="s">
        <v>352</v>
      </c>
      <c r="E294" t="b">
        <v>1</v>
      </c>
      <c r="F294" t="b">
        <v>1</v>
      </c>
      <c r="G294" t="s">
        <v>531</v>
      </c>
      <c r="H294" t="b">
        <v>0</v>
      </c>
      <c r="I294" t="b">
        <v>0</v>
      </c>
      <c r="J294" t="s">
        <v>1090</v>
      </c>
      <c r="K294">
        <v>0</v>
      </c>
      <c r="M294" t="s">
        <v>651</v>
      </c>
      <c r="Q294">
        <v>0</v>
      </c>
      <c r="R294">
        <v>0</v>
      </c>
      <c r="S294" t="b">
        <v>0</v>
      </c>
      <c r="T294" t="b">
        <f t="shared" si="12"/>
        <v>0</v>
      </c>
      <c r="U294" t="b">
        <f t="shared" si="13"/>
        <v>1</v>
      </c>
      <c r="V294" t="b">
        <f t="shared" si="14"/>
        <v>0</v>
      </c>
      <c r="W294" t="b">
        <f t="shared" si="15"/>
        <v>0</v>
      </c>
      <c r="X294" t="s">
        <v>929</v>
      </c>
    </row>
    <row r="295" spans="1:24" x14ac:dyDescent="0.25">
      <c r="A295">
        <v>1</v>
      </c>
      <c r="B295" t="s">
        <v>22</v>
      </c>
      <c r="C295">
        <v>36323788</v>
      </c>
      <c r="D295" t="s">
        <v>350</v>
      </c>
      <c r="E295" t="b">
        <v>1</v>
      </c>
      <c r="F295" t="b">
        <v>1</v>
      </c>
      <c r="G295" t="s">
        <v>531</v>
      </c>
      <c r="H295" t="b">
        <v>0</v>
      </c>
      <c r="I295" t="b">
        <v>0</v>
      </c>
      <c r="J295" t="s">
        <v>1090</v>
      </c>
      <c r="K295">
        <v>0</v>
      </c>
      <c r="M295" t="s">
        <v>650</v>
      </c>
      <c r="Q295">
        <v>0</v>
      </c>
      <c r="R295">
        <v>0</v>
      </c>
      <c r="S295" t="b">
        <v>0</v>
      </c>
      <c r="T295" t="b">
        <f t="shared" si="12"/>
        <v>0</v>
      </c>
      <c r="U295" t="b">
        <f t="shared" si="13"/>
        <v>1</v>
      </c>
      <c r="V295" t="b">
        <f t="shared" si="14"/>
        <v>0</v>
      </c>
      <c r="W295" t="b">
        <f t="shared" si="15"/>
        <v>0</v>
      </c>
      <c r="X295" t="s">
        <v>927</v>
      </c>
    </row>
    <row r="296" spans="1:24" x14ac:dyDescent="0.25">
      <c r="A296">
        <v>1</v>
      </c>
      <c r="B296" t="s">
        <v>22</v>
      </c>
      <c r="C296">
        <v>36323788</v>
      </c>
      <c r="D296" t="s">
        <v>203</v>
      </c>
      <c r="E296" t="b">
        <v>1</v>
      </c>
      <c r="F296" t="b">
        <v>1</v>
      </c>
      <c r="G296" t="s">
        <v>495</v>
      </c>
      <c r="H296" t="b">
        <v>0</v>
      </c>
      <c r="I296" t="b">
        <v>0</v>
      </c>
      <c r="J296" t="s">
        <v>1090</v>
      </c>
      <c r="K296">
        <v>0</v>
      </c>
      <c r="O296" t="s">
        <v>1069</v>
      </c>
      <c r="Q296">
        <v>0</v>
      </c>
      <c r="R296">
        <v>0</v>
      </c>
      <c r="S296" t="b">
        <v>0</v>
      </c>
      <c r="T296" t="b">
        <f t="shared" si="12"/>
        <v>0</v>
      </c>
      <c r="U296" t="b">
        <f t="shared" si="13"/>
        <v>1</v>
      </c>
      <c r="V296" t="b">
        <f t="shared" si="14"/>
        <v>0</v>
      </c>
      <c r="W296" t="b">
        <f t="shared" si="15"/>
        <v>0</v>
      </c>
      <c r="X296" t="s">
        <v>788</v>
      </c>
    </row>
    <row r="297" spans="1:24" x14ac:dyDescent="0.25">
      <c r="A297">
        <v>1</v>
      </c>
      <c r="B297" t="s">
        <v>22</v>
      </c>
      <c r="C297">
        <v>36323788</v>
      </c>
      <c r="D297" t="s">
        <v>332</v>
      </c>
      <c r="E297" t="b">
        <v>1</v>
      </c>
      <c r="F297" t="b">
        <v>1</v>
      </c>
      <c r="G297" t="s">
        <v>495</v>
      </c>
      <c r="H297" t="b">
        <v>0</v>
      </c>
      <c r="I297" t="b">
        <v>0</v>
      </c>
      <c r="J297" t="s">
        <v>1090</v>
      </c>
      <c r="K297">
        <v>0</v>
      </c>
      <c r="Q297">
        <v>0</v>
      </c>
      <c r="R297">
        <v>0</v>
      </c>
      <c r="S297" t="b">
        <v>0</v>
      </c>
      <c r="T297" t="b">
        <f t="shared" si="12"/>
        <v>0</v>
      </c>
      <c r="U297" t="b">
        <f t="shared" si="13"/>
        <v>1</v>
      </c>
      <c r="V297" t="b">
        <f t="shared" si="14"/>
        <v>0</v>
      </c>
      <c r="W297" t="b">
        <f t="shared" si="15"/>
        <v>0</v>
      </c>
      <c r="X297" t="s">
        <v>909</v>
      </c>
    </row>
    <row r="298" spans="1:24" x14ac:dyDescent="0.25">
      <c r="A298">
        <v>1</v>
      </c>
      <c r="B298" t="s">
        <v>22</v>
      </c>
      <c r="C298">
        <v>36323788</v>
      </c>
      <c r="D298" t="s">
        <v>335</v>
      </c>
      <c r="E298" t="b">
        <v>0</v>
      </c>
      <c r="F298" t="b">
        <v>1</v>
      </c>
      <c r="G298" t="s">
        <v>495</v>
      </c>
      <c r="H298" t="b">
        <v>0</v>
      </c>
      <c r="I298" t="b">
        <v>0</v>
      </c>
      <c r="J298" t="s">
        <v>1093</v>
      </c>
      <c r="K298" s="2">
        <v>0</v>
      </c>
      <c r="L298" t="s">
        <v>593</v>
      </c>
      <c r="M298" t="s">
        <v>614</v>
      </c>
      <c r="N298" t="s">
        <v>690</v>
      </c>
      <c r="O298" t="s">
        <v>690</v>
      </c>
      <c r="Q298">
        <v>0</v>
      </c>
      <c r="R298">
        <v>0</v>
      </c>
      <c r="S298" t="b">
        <v>1</v>
      </c>
      <c r="T298" t="b">
        <f t="shared" si="12"/>
        <v>1</v>
      </c>
      <c r="U298" t="b">
        <f t="shared" si="13"/>
        <v>0</v>
      </c>
      <c r="V298" t="b">
        <f t="shared" si="14"/>
        <v>0</v>
      </c>
      <c r="W298" t="b">
        <f t="shared" si="15"/>
        <v>0</v>
      </c>
      <c r="X298" t="s">
        <v>912</v>
      </c>
    </row>
    <row r="299" spans="1:24" x14ac:dyDescent="0.25">
      <c r="A299">
        <v>1</v>
      </c>
      <c r="B299" t="s">
        <v>22</v>
      </c>
      <c r="C299">
        <v>36323788</v>
      </c>
      <c r="D299" t="s">
        <v>196</v>
      </c>
      <c r="E299" t="b">
        <v>1</v>
      </c>
      <c r="F299" t="b">
        <v>1</v>
      </c>
      <c r="G299" t="s">
        <v>494</v>
      </c>
      <c r="H299" t="b">
        <v>0</v>
      </c>
      <c r="I299" t="b">
        <v>0</v>
      </c>
      <c r="J299" t="s">
        <v>1090</v>
      </c>
      <c r="K299">
        <v>0</v>
      </c>
      <c r="Q299">
        <v>0</v>
      </c>
      <c r="R299">
        <v>0</v>
      </c>
      <c r="S299" t="b">
        <v>0</v>
      </c>
      <c r="T299" t="b">
        <f t="shared" si="12"/>
        <v>0</v>
      </c>
      <c r="U299" t="b">
        <f t="shared" si="13"/>
        <v>1</v>
      </c>
      <c r="V299" t="b">
        <f t="shared" si="14"/>
        <v>0</v>
      </c>
      <c r="W299" t="b">
        <f t="shared" si="15"/>
        <v>0</v>
      </c>
      <c r="X299" t="s">
        <v>781</v>
      </c>
    </row>
    <row r="300" spans="1:24" x14ac:dyDescent="0.25">
      <c r="A300">
        <v>1</v>
      </c>
      <c r="B300" t="s">
        <v>22</v>
      </c>
      <c r="C300">
        <v>36323788</v>
      </c>
      <c r="D300" t="s">
        <v>200</v>
      </c>
      <c r="E300" t="b">
        <v>1</v>
      </c>
      <c r="F300" t="b">
        <v>1</v>
      </c>
      <c r="G300" t="s">
        <v>495</v>
      </c>
      <c r="H300" t="b">
        <v>0</v>
      </c>
      <c r="I300" t="b">
        <v>0</v>
      </c>
      <c r="J300" t="s">
        <v>1090</v>
      </c>
      <c r="K300">
        <v>2</v>
      </c>
      <c r="O300" t="s">
        <v>1070</v>
      </c>
      <c r="Q300">
        <v>0</v>
      </c>
      <c r="R300">
        <v>0</v>
      </c>
      <c r="S300" t="b">
        <v>0</v>
      </c>
      <c r="T300" t="b">
        <f t="shared" si="12"/>
        <v>0</v>
      </c>
      <c r="U300" t="b">
        <f t="shared" si="13"/>
        <v>1</v>
      </c>
      <c r="V300" t="b">
        <f t="shared" si="14"/>
        <v>0</v>
      </c>
      <c r="W300" t="b">
        <f t="shared" si="15"/>
        <v>0</v>
      </c>
      <c r="X300" t="s">
        <v>785</v>
      </c>
    </row>
    <row r="301" spans="1:24" x14ac:dyDescent="0.25">
      <c r="A301">
        <v>1</v>
      </c>
      <c r="B301" t="s">
        <v>22</v>
      </c>
      <c r="C301">
        <v>36323788</v>
      </c>
      <c r="D301" t="s">
        <v>201</v>
      </c>
      <c r="E301" t="b">
        <v>0</v>
      </c>
      <c r="F301" t="b">
        <v>1</v>
      </c>
      <c r="G301" t="s">
        <v>495</v>
      </c>
      <c r="H301" t="b">
        <v>0</v>
      </c>
      <c r="I301" t="b">
        <v>0</v>
      </c>
      <c r="J301" t="s">
        <v>1093</v>
      </c>
      <c r="K301" s="2">
        <v>0</v>
      </c>
      <c r="L301" t="s">
        <v>557</v>
      </c>
      <c r="M301" t="s">
        <v>12</v>
      </c>
      <c r="N301" t="s">
        <v>682</v>
      </c>
      <c r="Q301">
        <v>0</v>
      </c>
      <c r="R301">
        <v>0</v>
      </c>
      <c r="S301" t="b">
        <v>1</v>
      </c>
      <c r="T301" t="b">
        <f t="shared" si="12"/>
        <v>1</v>
      </c>
      <c r="U301" t="b">
        <f t="shared" si="13"/>
        <v>0</v>
      </c>
      <c r="V301" t="b">
        <f t="shared" si="14"/>
        <v>0</v>
      </c>
      <c r="W301" t="b">
        <f t="shared" si="15"/>
        <v>0</v>
      </c>
      <c r="X301" t="s">
        <v>786</v>
      </c>
    </row>
    <row r="302" spans="1:24" x14ac:dyDescent="0.25">
      <c r="A302">
        <v>1</v>
      </c>
      <c r="B302" t="s">
        <v>22</v>
      </c>
      <c r="C302">
        <v>36323788</v>
      </c>
      <c r="D302" t="s">
        <v>218</v>
      </c>
      <c r="E302" t="b">
        <v>0</v>
      </c>
      <c r="F302" t="b">
        <v>1</v>
      </c>
      <c r="G302" t="s">
        <v>498</v>
      </c>
      <c r="H302" t="b">
        <v>0</v>
      </c>
      <c r="I302" t="b">
        <v>0</v>
      </c>
      <c r="J302" t="s">
        <v>1093</v>
      </c>
      <c r="K302" s="2">
        <v>0</v>
      </c>
      <c r="L302" t="s">
        <v>578</v>
      </c>
      <c r="M302" t="s">
        <v>634</v>
      </c>
      <c r="N302" t="s">
        <v>685</v>
      </c>
      <c r="O302" t="s">
        <v>685</v>
      </c>
      <c r="Q302">
        <v>0</v>
      </c>
      <c r="R302">
        <v>0</v>
      </c>
      <c r="S302" t="b">
        <v>1</v>
      </c>
      <c r="T302" t="b">
        <f t="shared" si="12"/>
        <v>1</v>
      </c>
      <c r="U302" t="b">
        <f t="shared" si="13"/>
        <v>0</v>
      </c>
      <c r="V302" t="b">
        <f t="shared" si="14"/>
        <v>0</v>
      </c>
      <c r="W302" t="b">
        <f t="shared" si="15"/>
        <v>0</v>
      </c>
      <c r="X302" t="s">
        <v>802</v>
      </c>
    </row>
    <row r="303" spans="1:24" x14ac:dyDescent="0.25">
      <c r="A303">
        <v>1</v>
      </c>
      <c r="B303" t="s">
        <v>22</v>
      </c>
      <c r="C303">
        <v>36323788</v>
      </c>
      <c r="D303" t="s">
        <v>217</v>
      </c>
      <c r="E303" t="b">
        <v>0</v>
      </c>
      <c r="F303" t="b">
        <v>1</v>
      </c>
      <c r="G303" t="s">
        <v>498</v>
      </c>
      <c r="H303" t="b">
        <v>0</v>
      </c>
      <c r="I303" t="b">
        <v>0</v>
      </c>
      <c r="J303" t="s">
        <v>1093</v>
      </c>
      <c r="K303" s="2">
        <v>0</v>
      </c>
      <c r="L303" t="s">
        <v>578</v>
      </c>
      <c r="M303" t="s">
        <v>634</v>
      </c>
      <c r="N303" t="s">
        <v>685</v>
      </c>
      <c r="O303" t="s">
        <v>685</v>
      </c>
      <c r="Q303">
        <v>0</v>
      </c>
      <c r="R303">
        <v>0</v>
      </c>
      <c r="S303" t="b">
        <v>1</v>
      </c>
      <c r="T303" t="b">
        <f t="shared" si="12"/>
        <v>1</v>
      </c>
      <c r="U303" t="b">
        <f t="shared" si="13"/>
        <v>0</v>
      </c>
      <c r="V303" t="b">
        <f t="shared" si="14"/>
        <v>0</v>
      </c>
      <c r="W303" t="b">
        <f t="shared" si="15"/>
        <v>0</v>
      </c>
      <c r="X303" t="s">
        <v>801</v>
      </c>
    </row>
    <row r="304" spans="1:24" x14ac:dyDescent="0.25">
      <c r="A304">
        <v>1</v>
      </c>
      <c r="B304" t="s">
        <v>22</v>
      </c>
      <c r="C304">
        <v>36323788</v>
      </c>
      <c r="D304" t="s">
        <v>365</v>
      </c>
      <c r="E304" t="b">
        <v>1</v>
      </c>
      <c r="F304" t="b">
        <v>1</v>
      </c>
      <c r="G304" t="s">
        <v>533</v>
      </c>
      <c r="H304" t="b">
        <v>0</v>
      </c>
      <c r="I304" t="b">
        <v>0</v>
      </c>
      <c r="J304" t="s">
        <v>1090</v>
      </c>
      <c r="K304">
        <v>0</v>
      </c>
      <c r="M304" t="s">
        <v>634</v>
      </c>
      <c r="Q304">
        <v>0</v>
      </c>
      <c r="R304">
        <v>0</v>
      </c>
      <c r="S304" t="b">
        <v>0</v>
      </c>
      <c r="T304" t="b">
        <f t="shared" si="12"/>
        <v>0</v>
      </c>
      <c r="U304" t="b">
        <f t="shared" si="13"/>
        <v>1</v>
      </c>
      <c r="V304" t="b">
        <f t="shared" si="14"/>
        <v>0</v>
      </c>
      <c r="W304" t="b">
        <f t="shared" si="15"/>
        <v>0</v>
      </c>
      <c r="X304" t="s">
        <v>942</v>
      </c>
    </row>
    <row r="305" spans="1:24" x14ac:dyDescent="0.25">
      <c r="A305">
        <v>1</v>
      </c>
      <c r="B305" t="s">
        <v>22</v>
      </c>
      <c r="C305">
        <v>36323788</v>
      </c>
      <c r="D305" t="s">
        <v>233</v>
      </c>
      <c r="E305" t="b">
        <v>1</v>
      </c>
      <c r="F305" t="b">
        <v>1</v>
      </c>
      <c r="G305" t="s">
        <v>505</v>
      </c>
      <c r="H305" t="b">
        <v>0</v>
      </c>
      <c r="I305" t="b">
        <v>0</v>
      </c>
      <c r="J305" t="s">
        <v>1090</v>
      </c>
      <c r="K305">
        <v>0</v>
      </c>
      <c r="O305" t="s">
        <v>1068</v>
      </c>
      <c r="Q305">
        <v>0</v>
      </c>
      <c r="R305">
        <v>0</v>
      </c>
      <c r="S305" t="b">
        <v>0</v>
      </c>
      <c r="T305" t="b">
        <f t="shared" si="12"/>
        <v>0</v>
      </c>
      <c r="U305" t="b">
        <f t="shared" si="13"/>
        <v>1</v>
      </c>
      <c r="V305" t="b">
        <f t="shared" si="14"/>
        <v>0</v>
      </c>
      <c r="W305" t="b">
        <f t="shared" si="15"/>
        <v>0</v>
      </c>
      <c r="X305" t="s">
        <v>816</v>
      </c>
    </row>
    <row r="306" spans="1:24" x14ac:dyDescent="0.25">
      <c r="A306">
        <v>1</v>
      </c>
      <c r="B306" t="s">
        <v>22</v>
      </c>
      <c r="C306">
        <v>36323788</v>
      </c>
      <c r="D306" t="s">
        <v>363</v>
      </c>
      <c r="E306" t="b">
        <v>1</v>
      </c>
      <c r="F306" t="b">
        <v>1</v>
      </c>
      <c r="G306" t="s">
        <v>505</v>
      </c>
      <c r="H306" t="b">
        <v>0</v>
      </c>
      <c r="I306" t="b">
        <v>0</v>
      </c>
      <c r="J306" t="s">
        <v>1090</v>
      </c>
      <c r="K306">
        <v>0</v>
      </c>
      <c r="O306" t="s">
        <v>1071</v>
      </c>
      <c r="Q306">
        <v>0</v>
      </c>
      <c r="R306">
        <v>0</v>
      </c>
      <c r="S306" t="b">
        <v>0</v>
      </c>
      <c r="T306" t="b">
        <f t="shared" si="12"/>
        <v>0</v>
      </c>
      <c r="U306" t="b">
        <f t="shared" si="13"/>
        <v>1</v>
      </c>
      <c r="V306" t="b">
        <f t="shared" si="14"/>
        <v>0</v>
      </c>
      <c r="W306" t="b">
        <f t="shared" si="15"/>
        <v>0</v>
      </c>
      <c r="X306" t="s">
        <v>940</v>
      </c>
    </row>
    <row r="307" spans="1:24" x14ac:dyDescent="0.25">
      <c r="A307">
        <v>1</v>
      </c>
      <c r="B307" t="s">
        <v>22</v>
      </c>
      <c r="C307">
        <v>36323788</v>
      </c>
      <c r="D307" t="s">
        <v>364</v>
      </c>
      <c r="E307" t="b">
        <v>1</v>
      </c>
      <c r="F307" t="b">
        <v>1</v>
      </c>
      <c r="G307" t="s">
        <v>533</v>
      </c>
      <c r="H307" t="b">
        <v>0</v>
      </c>
      <c r="I307" t="b">
        <v>0</v>
      </c>
      <c r="J307" t="s">
        <v>1090</v>
      </c>
      <c r="K307">
        <v>0</v>
      </c>
      <c r="M307" t="s">
        <v>634</v>
      </c>
      <c r="Q307">
        <v>0</v>
      </c>
      <c r="R307">
        <v>0</v>
      </c>
      <c r="S307" t="b">
        <v>0</v>
      </c>
      <c r="T307" t="b">
        <f t="shared" si="12"/>
        <v>0</v>
      </c>
      <c r="U307" t="b">
        <f t="shared" si="13"/>
        <v>1</v>
      </c>
      <c r="V307" t="b">
        <f t="shared" si="14"/>
        <v>0</v>
      </c>
      <c r="W307" t="b">
        <f t="shared" si="15"/>
        <v>0</v>
      </c>
      <c r="X307" t="s">
        <v>941</v>
      </c>
    </row>
    <row r="308" spans="1:24" x14ac:dyDescent="0.25">
      <c r="A308">
        <v>1</v>
      </c>
      <c r="B308" t="s">
        <v>22</v>
      </c>
      <c r="C308">
        <v>36323788</v>
      </c>
      <c r="D308" t="s">
        <v>232</v>
      </c>
      <c r="E308" t="b">
        <v>1</v>
      </c>
      <c r="F308" t="b">
        <v>1</v>
      </c>
      <c r="G308" t="s">
        <v>505</v>
      </c>
      <c r="H308" t="b">
        <v>0</v>
      </c>
      <c r="I308" t="b">
        <v>0</v>
      </c>
      <c r="J308" t="s">
        <v>1090</v>
      </c>
      <c r="K308">
        <v>0</v>
      </c>
      <c r="L308" t="s">
        <v>569</v>
      </c>
      <c r="O308" t="s">
        <v>1068</v>
      </c>
      <c r="Q308">
        <v>0</v>
      </c>
      <c r="R308">
        <v>0</v>
      </c>
      <c r="S308" t="b">
        <v>0</v>
      </c>
      <c r="T308" t="b">
        <f t="shared" si="12"/>
        <v>0</v>
      </c>
      <c r="U308" t="b">
        <f t="shared" si="13"/>
        <v>1</v>
      </c>
      <c r="V308" t="b">
        <f t="shared" si="14"/>
        <v>0</v>
      </c>
      <c r="W308" t="b">
        <f t="shared" si="15"/>
        <v>0</v>
      </c>
      <c r="X308" t="s">
        <v>815</v>
      </c>
    </row>
    <row r="309" spans="1:24" x14ac:dyDescent="0.25">
      <c r="A309">
        <v>1</v>
      </c>
      <c r="B309" t="s">
        <v>22</v>
      </c>
      <c r="C309">
        <v>36323788</v>
      </c>
      <c r="D309" t="s">
        <v>235</v>
      </c>
      <c r="E309" t="b">
        <v>1</v>
      </c>
      <c r="F309" t="b">
        <v>1</v>
      </c>
      <c r="G309" t="s">
        <v>505</v>
      </c>
      <c r="H309" t="b">
        <v>0</v>
      </c>
      <c r="I309" t="b">
        <v>0</v>
      </c>
      <c r="J309" t="s">
        <v>1090</v>
      </c>
      <c r="K309">
        <v>0</v>
      </c>
      <c r="Q309">
        <v>0</v>
      </c>
      <c r="R309">
        <v>0</v>
      </c>
      <c r="S309" t="b">
        <v>0</v>
      </c>
      <c r="T309" t="b">
        <f t="shared" si="12"/>
        <v>0</v>
      </c>
      <c r="U309" t="b">
        <f t="shared" si="13"/>
        <v>1</v>
      </c>
      <c r="V309" t="b">
        <f t="shared" si="14"/>
        <v>0</v>
      </c>
      <c r="W309" t="b">
        <f t="shared" si="15"/>
        <v>0</v>
      </c>
      <c r="X309" t="s">
        <v>818</v>
      </c>
    </row>
    <row r="310" spans="1:24" x14ac:dyDescent="0.25">
      <c r="A310">
        <v>1</v>
      </c>
      <c r="B310" t="s">
        <v>22</v>
      </c>
      <c r="C310">
        <v>36323788</v>
      </c>
      <c r="D310" t="s">
        <v>385</v>
      </c>
      <c r="E310" t="b">
        <v>1</v>
      </c>
      <c r="F310" t="b">
        <v>1</v>
      </c>
      <c r="G310" t="s">
        <v>504</v>
      </c>
      <c r="H310" t="b">
        <v>0</v>
      </c>
      <c r="I310" t="b">
        <v>0</v>
      </c>
      <c r="J310" t="s">
        <v>1098</v>
      </c>
      <c r="K310">
        <v>0</v>
      </c>
      <c r="Q310">
        <v>0</v>
      </c>
      <c r="R310">
        <v>0</v>
      </c>
      <c r="S310" t="b">
        <v>0</v>
      </c>
      <c r="T310" t="b">
        <f t="shared" si="12"/>
        <v>0</v>
      </c>
      <c r="U310" t="b">
        <f t="shared" si="13"/>
        <v>1</v>
      </c>
      <c r="V310" t="b">
        <f t="shared" si="14"/>
        <v>0</v>
      </c>
      <c r="W310" t="b">
        <f t="shared" si="15"/>
        <v>0</v>
      </c>
      <c r="X310" t="s">
        <v>961</v>
      </c>
    </row>
    <row r="311" spans="1:24" x14ac:dyDescent="0.25">
      <c r="A311">
        <v>1</v>
      </c>
      <c r="B311" t="s">
        <v>22</v>
      </c>
      <c r="C311">
        <v>36323788</v>
      </c>
      <c r="D311" t="s">
        <v>228</v>
      </c>
      <c r="E311" t="b">
        <v>1</v>
      </c>
      <c r="F311" t="b">
        <v>1</v>
      </c>
      <c r="G311" t="s">
        <v>504</v>
      </c>
      <c r="H311" t="b">
        <v>0</v>
      </c>
      <c r="I311" t="b">
        <v>0</v>
      </c>
      <c r="J311" t="s">
        <v>1090</v>
      </c>
      <c r="K311">
        <v>0</v>
      </c>
      <c r="Q311">
        <v>0</v>
      </c>
      <c r="R311">
        <v>0</v>
      </c>
      <c r="S311" t="b">
        <v>0</v>
      </c>
      <c r="T311" t="b">
        <f t="shared" si="12"/>
        <v>0</v>
      </c>
      <c r="U311" t="b">
        <f t="shared" si="13"/>
        <v>1</v>
      </c>
      <c r="V311" t="b">
        <f t="shared" si="14"/>
        <v>0</v>
      </c>
      <c r="W311" t="b">
        <f t="shared" si="15"/>
        <v>0</v>
      </c>
      <c r="X311" t="s">
        <v>811</v>
      </c>
    </row>
    <row r="312" spans="1:24" x14ac:dyDescent="0.25">
      <c r="A312">
        <v>1</v>
      </c>
      <c r="B312" t="s">
        <v>22</v>
      </c>
      <c r="C312">
        <v>36323788</v>
      </c>
      <c r="D312" t="s">
        <v>382</v>
      </c>
      <c r="E312" t="b">
        <v>1</v>
      </c>
      <c r="F312" t="b">
        <v>1</v>
      </c>
      <c r="G312" t="s">
        <v>504</v>
      </c>
      <c r="H312" t="b">
        <v>0</v>
      </c>
      <c r="I312" t="b">
        <v>0</v>
      </c>
      <c r="J312" t="s">
        <v>1090</v>
      </c>
      <c r="K312">
        <v>5</v>
      </c>
      <c r="L312" t="s">
        <v>598</v>
      </c>
      <c r="O312" t="s">
        <v>1072</v>
      </c>
      <c r="Q312">
        <v>0</v>
      </c>
      <c r="R312">
        <v>0</v>
      </c>
      <c r="S312" t="b">
        <v>0</v>
      </c>
      <c r="T312" t="b">
        <f t="shared" si="12"/>
        <v>0</v>
      </c>
      <c r="U312" t="b">
        <f t="shared" si="13"/>
        <v>1</v>
      </c>
      <c r="V312" t="b">
        <f t="shared" si="14"/>
        <v>0</v>
      </c>
      <c r="W312" t="b">
        <f t="shared" si="15"/>
        <v>0</v>
      </c>
      <c r="X312" t="s">
        <v>958</v>
      </c>
    </row>
    <row r="313" spans="1:24" x14ac:dyDescent="0.25">
      <c r="A313">
        <v>1</v>
      </c>
      <c r="B313" t="s">
        <v>22</v>
      </c>
      <c r="C313">
        <v>36323788</v>
      </c>
      <c r="D313" t="s">
        <v>383</v>
      </c>
      <c r="E313" t="b">
        <v>1</v>
      </c>
      <c r="F313" t="b">
        <v>1</v>
      </c>
      <c r="G313" t="s">
        <v>504</v>
      </c>
      <c r="H313" t="b">
        <v>0</v>
      </c>
      <c r="I313" t="b">
        <v>0</v>
      </c>
      <c r="J313" t="s">
        <v>1090</v>
      </c>
      <c r="K313">
        <v>0</v>
      </c>
      <c r="Q313">
        <v>0</v>
      </c>
      <c r="R313">
        <v>0</v>
      </c>
      <c r="S313" t="b">
        <v>0</v>
      </c>
      <c r="T313" t="b">
        <f t="shared" si="12"/>
        <v>0</v>
      </c>
      <c r="U313" t="b">
        <f t="shared" si="13"/>
        <v>1</v>
      </c>
      <c r="V313" t="b">
        <f t="shared" si="14"/>
        <v>0</v>
      </c>
      <c r="W313" t="b">
        <f t="shared" si="15"/>
        <v>0</v>
      </c>
      <c r="X313" t="s">
        <v>959</v>
      </c>
    </row>
    <row r="314" spans="1:24" x14ac:dyDescent="0.25">
      <c r="A314">
        <v>1</v>
      </c>
      <c r="B314" t="s">
        <v>22</v>
      </c>
      <c r="C314">
        <v>36323788</v>
      </c>
      <c r="D314" t="s">
        <v>384</v>
      </c>
      <c r="E314" t="b">
        <v>1</v>
      </c>
      <c r="F314" t="b">
        <v>1</v>
      </c>
      <c r="G314" t="s">
        <v>504</v>
      </c>
      <c r="H314" t="b">
        <v>0</v>
      </c>
      <c r="I314" t="b">
        <v>0</v>
      </c>
      <c r="J314" t="s">
        <v>1090</v>
      </c>
      <c r="K314">
        <v>1</v>
      </c>
      <c r="L314" t="s">
        <v>568</v>
      </c>
      <c r="Q314">
        <v>0</v>
      </c>
      <c r="R314">
        <v>0</v>
      </c>
      <c r="S314" t="b">
        <v>0</v>
      </c>
      <c r="T314" t="b">
        <f t="shared" si="12"/>
        <v>0</v>
      </c>
      <c r="U314" t="b">
        <f t="shared" si="13"/>
        <v>1</v>
      </c>
      <c r="V314" t="b">
        <f t="shared" si="14"/>
        <v>0</v>
      </c>
      <c r="W314" t="b">
        <f t="shared" si="15"/>
        <v>0</v>
      </c>
      <c r="X314" t="s">
        <v>960</v>
      </c>
    </row>
    <row r="315" spans="1:24" x14ac:dyDescent="0.25">
      <c r="A315">
        <v>1</v>
      </c>
      <c r="B315" t="s">
        <v>22</v>
      </c>
      <c r="C315">
        <v>36323788</v>
      </c>
      <c r="D315" t="s">
        <v>199</v>
      </c>
      <c r="E315" t="b">
        <v>1</v>
      </c>
      <c r="F315" t="b">
        <v>1</v>
      </c>
      <c r="G315" t="s">
        <v>495</v>
      </c>
      <c r="H315" t="b">
        <v>0</v>
      </c>
      <c r="I315" t="b">
        <v>0</v>
      </c>
      <c r="J315" t="s">
        <v>1090</v>
      </c>
      <c r="K315">
        <v>1</v>
      </c>
      <c r="L315" t="s">
        <v>568</v>
      </c>
      <c r="M315" t="s">
        <v>632</v>
      </c>
      <c r="Q315">
        <v>0</v>
      </c>
      <c r="R315">
        <v>0</v>
      </c>
      <c r="S315" t="b">
        <v>0</v>
      </c>
      <c r="T315" t="b">
        <f t="shared" si="12"/>
        <v>0</v>
      </c>
      <c r="U315" t="b">
        <f t="shared" si="13"/>
        <v>1</v>
      </c>
      <c r="V315" t="b">
        <f t="shared" si="14"/>
        <v>0</v>
      </c>
      <c r="W315" t="b">
        <f t="shared" si="15"/>
        <v>0</v>
      </c>
      <c r="X315" t="s">
        <v>784</v>
      </c>
    </row>
    <row r="316" spans="1:24" x14ac:dyDescent="0.25">
      <c r="A316">
        <v>1</v>
      </c>
      <c r="B316" t="s">
        <v>22</v>
      </c>
      <c r="C316">
        <v>36323788</v>
      </c>
      <c r="D316" t="s">
        <v>229</v>
      </c>
      <c r="E316" t="b">
        <v>1</v>
      </c>
      <c r="F316" t="b">
        <v>1</v>
      </c>
      <c r="G316" t="s">
        <v>504</v>
      </c>
      <c r="H316" t="b">
        <v>0</v>
      </c>
      <c r="I316" t="b">
        <v>0</v>
      </c>
      <c r="J316" t="s">
        <v>1090</v>
      </c>
      <c r="K316">
        <v>0</v>
      </c>
      <c r="Q316">
        <v>0</v>
      </c>
      <c r="R316">
        <v>0</v>
      </c>
      <c r="S316" t="b">
        <v>0</v>
      </c>
      <c r="T316" t="b">
        <f t="shared" si="12"/>
        <v>0</v>
      </c>
      <c r="U316" t="b">
        <f t="shared" si="13"/>
        <v>1</v>
      </c>
      <c r="V316" t="b">
        <f t="shared" si="14"/>
        <v>0</v>
      </c>
      <c r="W316" t="b">
        <f t="shared" si="15"/>
        <v>0</v>
      </c>
      <c r="X316" t="s">
        <v>812</v>
      </c>
    </row>
    <row r="317" spans="1:24" x14ac:dyDescent="0.25">
      <c r="A317">
        <v>1</v>
      </c>
      <c r="B317" t="s">
        <v>22</v>
      </c>
      <c r="C317">
        <v>36323788</v>
      </c>
      <c r="D317" t="s">
        <v>347</v>
      </c>
      <c r="E317" t="b">
        <v>1</v>
      </c>
      <c r="F317" t="b">
        <v>1</v>
      </c>
      <c r="G317" t="s">
        <v>531</v>
      </c>
      <c r="H317" t="b">
        <v>0</v>
      </c>
      <c r="I317" t="b">
        <v>0</v>
      </c>
      <c r="J317" t="s">
        <v>1090</v>
      </c>
      <c r="K317">
        <v>6</v>
      </c>
      <c r="Q317">
        <v>0</v>
      </c>
      <c r="R317">
        <v>0</v>
      </c>
      <c r="S317" t="b">
        <v>0</v>
      </c>
      <c r="T317" t="b">
        <f t="shared" si="12"/>
        <v>0</v>
      </c>
      <c r="U317" t="b">
        <f t="shared" si="13"/>
        <v>1</v>
      </c>
      <c r="V317" t="b">
        <f t="shared" si="14"/>
        <v>0</v>
      </c>
      <c r="W317" t="b">
        <f t="shared" si="15"/>
        <v>0</v>
      </c>
      <c r="X317" t="s">
        <v>924</v>
      </c>
    </row>
    <row r="318" spans="1:24" x14ac:dyDescent="0.25">
      <c r="A318">
        <v>1</v>
      </c>
      <c r="B318" t="s">
        <v>22</v>
      </c>
      <c r="C318">
        <v>36323788</v>
      </c>
      <c r="D318" t="s">
        <v>349</v>
      </c>
      <c r="E318" t="b">
        <v>1</v>
      </c>
      <c r="F318" t="b">
        <v>1</v>
      </c>
      <c r="G318" t="s">
        <v>531</v>
      </c>
      <c r="H318" t="b">
        <v>0</v>
      </c>
      <c r="I318" t="b">
        <v>0</v>
      </c>
      <c r="J318" t="s">
        <v>1090</v>
      </c>
      <c r="K318">
        <v>0</v>
      </c>
      <c r="L318" t="s">
        <v>568</v>
      </c>
      <c r="M318" t="s">
        <v>636</v>
      </c>
      <c r="Q318">
        <v>0</v>
      </c>
      <c r="R318">
        <v>0</v>
      </c>
      <c r="S318" t="b">
        <v>0</v>
      </c>
      <c r="T318" t="b">
        <f t="shared" si="12"/>
        <v>0</v>
      </c>
      <c r="U318" t="b">
        <f t="shared" si="13"/>
        <v>1</v>
      </c>
      <c r="V318" t="b">
        <f t="shared" si="14"/>
        <v>0</v>
      </c>
      <c r="W318" t="b">
        <f t="shared" si="15"/>
        <v>0</v>
      </c>
      <c r="X318" t="s">
        <v>926</v>
      </c>
    </row>
    <row r="319" spans="1:24" x14ac:dyDescent="0.25">
      <c r="A319">
        <v>1</v>
      </c>
      <c r="B319" t="s">
        <v>22</v>
      </c>
      <c r="C319">
        <v>36323788</v>
      </c>
      <c r="D319" t="s">
        <v>231</v>
      </c>
      <c r="E319" t="b">
        <v>1</v>
      </c>
      <c r="F319" t="b">
        <v>1</v>
      </c>
      <c r="G319" t="s">
        <v>505</v>
      </c>
      <c r="H319" t="b">
        <v>0</v>
      </c>
      <c r="I319" t="b">
        <v>0</v>
      </c>
      <c r="J319" t="s">
        <v>1090</v>
      </c>
      <c r="K319">
        <v>0</v>
      </c>
      <c r="L319" t="s">
        <v>568</v>
      </c>
      <c r="M319" t="s">
        <v>636</v>
      </c>
      <c r="Q319">
        <v>0</v>
      </c>
      <c r="R319">
        <v>0</v>
      </c>
      <c r="S319" t="b">
        <v>0</v>
      </c>
      <c r="T319" t="b">
        <f t="shared" si="12"/>
        <v>0</v>
      </c>
      <c r="U319" t="b">
        <f t="shared" si="13"/>
        <v>1</v>
      </c>
      <c r="V319" t="b">
        <f t="shared" si="14"/>
        <v>0</v>
      </c>
      <c r="W319" t="b">
        <f t="shared" si="15"/>
        <v>0</v>
      </c>
      <c r="X319" t="s">
        <v>814</v>
      </c>
    </row>
    <row r="320" spans="1:24" x14ac:dyDescent="0.25">
      <c r="A320">
        <v>1</v>
      </c>
      <c r="B320" t="s">
        <v>22</v>
      </c>
      <c r="C320">
        <v>36323788</v>
      </c>
      <c r="D320" t="s">
        <v>198</v>
      </c>
      <c r="E320" t="b">
        <v>1</v>
      </c>
      <c r="F320" t="b">
        <v>1</v>
      </c>
      <c r="G320" t="s">
        <v>495</v>
      </c>
      <c r="H320" t="b">
        <v>0</v>
      </c>
      <c r="I320" t="b">
        <v>0</v>
      </c>
      <c r="J320" t="s">
        <v>1090</v>
      </c>
      <c r="K320">
        <v>0</v>
      </c>
      <c r="O320" t="s">
        <v>1073</v>
      </c>
      <c r="Q320">
        <v>0</v>
      </c>
      <c r="R320">
        <v>0</v>
      </c>
      <c r="S320" t="b">
        <v>0</v>
      </c>
      <c r="T320" t="b">
        <f t="shared" si="12"/>
        <v>0</v>
      </c>
      <c r="U320" t="b">
        <f t="shared" si="13"/>
        <v>1</v>
      </c>
      <c r="V320" t="b">
        <f t="shared" si="14"/>
        <v>0</v>
      </c>
      <c r="W320" t="b">
        <f t="shared" si="15"/>
        <v>0</v>
      </c>
      <c r="X320" t="s">
        <v>783</v>
      </c>
    </row>
    <row r="321" spans="1:24" x14ac:dyDescent="0.25">
      <c r="A321">
        <v>1</v>
      </c>
      <c r="B321" t="s">
        <v>22</v>
      </c>
      <c r="C321">
        <v>36323788</v>
      </c>
      <c r="D321" t="s">
        <v>195</v>
      </c>
      <c r="E321" t="b">
        <v>1</v>
      </c>
      <c r="F321" t="b">
        <v>1</v>
      </c>
      <c r="G321" t="s">
        <v>494</v>
      </c>
      <c r="H321" t="b">
        <v>0</v>
      </c>
      <c r="I321" t="b">
        <v>0</v>
      </c>
      <c r="J321" t="s">
        <v>1090</v>
      </c>
      <c r="K321">
        <v>0</v>
      </c>
      <c r="Q321">
        <v>0</v>
      </c>
      <c r="R321">
        <v>0</v>
      </c>
      <c r="S321" t="b">
        <v>0</v>
      </c>
      <c r="T321" t="b">
        <f t="shared" si="12"/>
        <v>0</v>
      </c>
      <c r="U321" t="b">
        <f t="shared" si="13"/>
        <v>1</v>
      </c>
      <c r="V321" t="b">
        <f t="shared" si="14"/>
        <v>0</v>
      </c>
      <c r="W321" t="b">
        <f t="shared" si="15"/>
        <v>0</v>
      </c>
      <c r="X321" t="s">
        <v>780</v>
      </c>
    </row>
    <row r="322" spans="1:24" x14ac:dyDescent="0.25">
      <c r="A322">
        <v>1</v>
      </c>
      <c r="B322" t="s">
        <v>22</v>
      </c>
      <c r="C322">
        <v>36323788</v>
      </c>
      <c r="D322" t="s">
        <v>336</v>
      </c>
      <c r="E322" t="b">
        <v>1</v>
      </c>
      <c r="F322" t="b">
        <v>1</v>
      </c>
      <c r="G322" t="s">
        <v>495</v>
      </c>
      <c r="H322" t="b">
        <v>0</v>
      </c>
      <c r="I322" t="b">
        <v>0</v>
      </c>
      <c r="J322" t="s">
        <v>1090</v>
      </c>
      <c r="K322">
        <v>0</v>
      </c>
      <c r="Q322">
        <v>0</v>
      </c>
      <c r="R322">
        <v>0</v>
      </c>
      <c r="S322" t="b">
        <v>0</v>
      </c>
      <c r="T322" t="b">
        <f t="shared" si="12"/>
        <v>0</v>
      </c>
      <c r="U322" t="b">
        <f t="shared" si="13"/>
        <v>1</v>
      </c>
      <c r="V322" t="b">
        <f t="shared" si="14"/>
        <v>0</v>
      </c>
      <c r="W322" t="b">
        <f t="shared" si="15"/>
        <v>0</v>
      </c>
      <c r="X322" t="s">
        <v>913</v>
      </c>
    </row>
    <row r="323" spans="1:24" x14ac:dyDescent="0.25">
      <c r="A323">
        <v>1</v>
      </c>
      <c r="B323" t="s">
        <v>22</v>
      </c>
      <c r="C323">
        <v>36323788</v>
      </c>
      <c r="D323" t="s">
        <v>202</v>
      </c>
      <c r="E323" t="b">
        <v>1</v>
      </c>
      <c r="F323" t="b">
        <v>1</v>
      </c>
      <c r="G323" t="s">
        <v>495</v>
      </c>
      <c r="H323" t="b">
        <v>0</v>
      </c>
      <c r="I323" t="b">
        <v>0</v>
      </c>
      <c r="J323" t="s">
        <v>1090</v>
      </c>
      <c r="K323">
        <v>1</v>
      </c>
      <c r="L323" t="s">
        <v>557</v>
      </c>
      <c r="O323" t="s">
        <v>1074</v>
      </c>
      <c r="Q323">
        <v>0</v>
      </c>
      <c r="R323">
        <v>0</v>
      </c>
      <c r="S323" t="b">
        <v>0</v>
      </c>
      <c r="T323" t="b">
        <f t="shared" si="12"/>
        <v>0</v>
      </c>
      <c r="U323" t="b">
        <f t="shared" si="13"/>
        <v>1</v>
      </c>
      <c r="V323" t="b">
        <f t="shared" si="14"/>
        <v>0</v>
      </c>
      <c r="W323" t="b">
        <f t="shared" si="15"/>
        <v>0</v>
      </c>
      <c r="X323" t="s">
        <v>787</v>
      </c>
    </row>
    <row r="324" spans="1:24" x14ac:dyDescent="0.25">
      <c r="A324">
        <v>1</v>
      </c>
      <c r="B324" t="s">
        <v>22</v>
      </c>
      <c r="C324">
        <v>36323788</v>
      </c>
      <c r="D324" t="s">
        <v>197</v>
      </c>
      <c r="E324" t="b">
        <v>1</v>
      </c>
      <c r="F324" t="b">
        <v>1</v>
      </c>
      <c r="G324" t="s">
        <v>494</v>
      </c>
      <c r="H324" t="b">
        <v>0</v>
      </c>
      <c r="I324" t="b">
        <v>0</v>
      </c>
      <c r="J324" t="s">
        <v>1090</v>
      </c>
      <c r="K324">
        <v>2</v>
      </c>
      <c r="Q324">
        <v>0</v>
      </c>
      <c r="R324">
        <v>0</v>
      </c>
      <c r="S324" t="b">
        <v>0</v>
      </c>
      <c r="T324" t="b">
        <f t="shared" si="12"/>
        <v>0</v>
      </c>
      <c r="U324" t="b">
        <f t="shared" si="13"/>
        <v>1</v>
      </c>
      <c r="V324" t="b">
        <f t="shared" si="14"/>
        <v>0</v>
      </c>
      <c r="W324" t="b">
        <f t="shared" si="15"/>
        <v>0</v>
      </c>
      <c r="X324" t="s">
        <v>782</v>
      </c>
    </row>
    <row r="325" spans="1:24" x14ac:dyDescent="0.25">
      <c r="A325">
        <v>1</v>
      </c>
      <c r="B325" t="s">
        <v>22</v>
      </c>
      <c r="C325">
        <v>36323788</v>
      </c>
      <c r="D325" t="s">
        <v>353</v>
      </c>
      <c r="E325" t="b">
        <v>1</v>
      </c>
      <c r="F325" t="b">
        <v>1</v>
      </c>
      <c r="G325" t="s">
        <v>531</v>
      </c>
      <c r="H325" t="b">
        <v>0</v>
      </c>
      <c r="I325" t="b">
        <v>0</v>
      </c>
      <c r="J325" t="s">
        <v>1090</v>
      </c>
      <c r="K325">
        <v>3</v>
      </c>
      <c r="Q325">
        <v>0</v>
      </c>
      <c r="R325">
        <v>0</v>
      </c>
      <c r="S325" t="b">
        <v>0</v>
      </c>
      <c r="T325" t="b">
        <f t="shared" si="12"/>
        <v>0</v>
      </c>
      <c r="U325" t="b">
        <f t="shared" si="13"/>
        <v>1</v>
      </c>
      <c r="V325" t="b">
        <f t="shared" si="14"/>
        <v>0</v>
      </c>
      <c r="W325" t="b">
        <f t="shared" si="15"/>
        <v>0</v>
      </c>
      <c r="X325" t="s">
        <v>930</v>
      </c>
    </row>
    <row r="326" spans="1:24" x14ac:dyDescent="0.25">
      <c r="A326">
        <v>1</v>
      </c>
      <c r="B326" t="s">
        <v>22</v>
      </c>
      <c r="C326">
        <v>36323788</v>
      </c>
      <c r="D326" t="s">
        <v>219</v>
      </c>
      <c r="E326" t="b">
        <v>1</v>
      </c>
      <c r="F326" t="b">
        <v>1</v>
      </c>
      <c r="G326" t="s">
        <v>498</v>
      </c>
      <c r="H326" t="b">
        <v>0</v>
      </c>
      <c r="I326" t="b">
        <v>0</v>
      </c>
      <c r="J326" t="s">
        <v>1090</v>
      </c>
      <c r="K326">
        <v>3</v>
      </c>
      <c r="Q326">
        <v>0</v>
      </c>
      <c r="R326">
        <v>0</v>
      </c>
      <c r="S326" t="b">
        <v>0</v>
      </c>
      <c r="T326" t="b">
        <f t="shared" si="12"/>
        <v>0</v>
      </c>
      <c r="U326" t="b">
        <f t="shared" si="13"/>
        <v>1</v>
      </c>
      <c r="V326" t="b">
        <f t="shared" si="14"/>
        <v>0</v>
      </c>
      <c r="W326" t="b">
        <f t="shared" si="15"/>
        <v>0</v>
      </c>
      <c r="X326" t="s">
        <v>803</v>
      </c>
    </row>
    <row r="327" spans="1:24" x14ac:dyDescent="0.25">
      <c r="A327">
        <v>1</v>
      </c>
      <c r="B327" t="s">
        <v>22</v>
      </c>
      <c r="C327">
        <v>36323788</v>
      </c>
      <c r="D327" t="s">
        <v>216</v>
      </c>
      <c r="E327" t="b">
        <v>1</v>
      </c>
      <c r="F327" t="b">
        <v>1</v>
      </c>
      <c r="G327" t="s">
        <v>497</v>
      </c>
      <c r="H327" t="b">
        <v>0</v>
      </c>
      <c r="I327" t="b">
        <v>0</v>
      </c>
      <c r="J327" t="s">
        <v>1090</v>
      </c>
      <c r="K327">
        <v>3</v>
      </c>
      <c r="Q327">
        <v>0</v>
      </c>
      <c r="R327">
        <v>0</v>
      </c>
      <c r="S327" t="b">
        <v>0</v>
      </c>
      <c r="T327" t="b">
        <f t="shared" si="12"/>
        <v>0</v>
      </c>
      <c r="U327" t="b">
        <f t="shared" si="13"/>
        <v>1</v>
      </c>
      <c r="V327" t="b">
        <f t="shared" si="14"/>
        <v>0</v>
      </c>
      <c r="W327" t="b">
        <f t="shared" si="15"/>
        <v>0</v>
      </c>
      <c r="X327" t="s">
        <v>800</v>
      </c>
    </row>
    <row r="328" spans="1:24" x14ac:dyDescent="0.25">
      <c r="A328">
        <v>1</v>
      </c>
      <c r="B328" t="s">
        <v>22</v>
      </c>
      <c r="C328">
        <v>36323788</v>
      </c>
      <c r="D328" t="s">
        <v>366</v>
      </c>
      <c r="E328" t="b">
        <v>1</v>
      </c>
      <c r="F328" t="b">
        <v>1</v>
      </c>
      <c r="G328" t="s">
        <v>533</v>
      </c>
      <c r="H328" t="b">
        <v>0</v>
      </c>
      <c r="I328" t="b">
        <v>0</v>
      </c>
      <c r="J328" t="s">
        <v>1090</v>
      </c>
      <c r="K328">
        <v>2</v>
      </c>
      <c r="Q328">
        <v>0</v>
      </c>
      <c r="R328">
        <v>0</v>
      </c>
      <c r="S328" t="b">
        <v>0</v>
      </c>
      <c r="T328" t="b">
        <f t="shared" si="12"/>
        <v>0</v>
      </c>
      <c r="U328" t="b">
        <f t="shared" si="13"/>
        <v>1</v>
      </c>
      <c r="V328" t="b">
        <f t="shared" si="14"/>
        <v>0</v>
      </c>
      <c r="W328" t="b">
        <f t="shared" si="15"/>
        <v>0</v>
      </c>
      <c r="X328" t="s">
        <v>943</v>
      </c>
    </row>
    <row r="329" spans="1:24" x14ac:dyDescent="0.25">
      <c r="A329">
        <v>1</v>
      </c>
      <c r="B329" t="s">
        <v>22</v>
      </c>
      <c r="C329">
        <v>36323788</v>
      </c>
      <c r="D329" t="s">
        <v>234</v>
      </c>
      <c r="E329" t="b">
        <v>1</v>
      </c>
      <c r="F329" t="b">
        <v>1</v>
      </c>
      <c r="G329" t="s">
        <v>505</v>
      </c>
      <c r="H329" t="b">
        <v>0</v>
      </c>
      <c r="I329" t="b">
        <v>0</v>
      </c>
      <c r="J329" t="s">
        <v>1090</v>
      </c>
      <c r="K329">
        <v>2</v>
      </c>
      <c r="Q329">
        <v>0</v>
      </c>
      <c r="R329">
        <v>0</v>
      </c>
      <c r="S329" t="b">
        <v>0</v>
      </c>
      <c r="T329" t="b">
        <f t="shared" si="12"/>
        <v>0</v>
      </c>
      <c r="U329" t="b">
        <f t="shared" si="13"/>
        <v>1</v>
      </c>
      <c r="V329" t="b">
        <f t="shared" si="14"/>
        <v>0</v>
      </c>
      <c r="W329" t="b">
        <f t="shared" si="15"/>
        <v>0</v>
      </c>
      <c r="X329" t="s">
        <v>817</v>
      </c>
    </row>
    <row r="330" spans="1:24" x14ac:dyDescent="0.25">
      <c r="A330">
        <v>1</v>
      </c>
      <c r="B330" t="s">
        <v>22</v>
      </c>
      <c r="C330">
        <v>36323788</v>
      </c>
      <c r="D330" t="s">
        <v>230</v>
      </c>
      <c r="E330" t="b">
        <v>1</v>
      </c>
      <c r="F330" t="b">
        <v>1</v>
      </c>
      <c r="G330" t="s">
        <v>504</v>
      </c>
      <c r="H330" t="b">
        <v>0</v>
      </c>
      <c r="I330" t="b">
        <v>0</v>
      </c>
      <c r="J330" t="s">
        <v>1090</v>
      </c>
      <c r="K330">
        <v>2</v>
      </c>
      <c r="Q330">
        <v>0</v>
      </c>
      <c r="R330">
        <v>0</v>
      </c>
      <c r="S330" t="b">
        <v>0</v>
      </c>
      <c r="T330" t="b">
        <f t="shared" si="12"/>
        <v>0</v>
      </c>
      <c r="U330" t="b">
        <f t="shared" si="13"/>
        <v>1</v>
      </c>
      <c r="V330" t="b">
        <f t="shared" si="14"/>
        <v>0</v>
      </c>
      <c r="W330" t="b">
        <f t="shared" si="15"/>
        <v>0</v>
      </c>
      <c r="X330" t="s">
        <v>813</v>
      </c>
    </row>
    <row r="331" spans="1:24" x14ac:dyDescent="0.25">
      <c r="A331">
        <v>1</v>
      </c>
      <c r="B331" t="s">
        <v>22</v>
      </c>
      <c r="C331">
        <v>36323788</v>
      </c>
      <c r="D331" t="s">
        <v>337</v>
      </c>
      <c r="E331" t="b">
        <v>1</v>
      </c>
      <c r="F331" t="b">
        <v>1</v>
      </c>
      <c r="G331" t="s">
        <v>495</v>
      </c>
      <c r="H331" t="b">
        <v>0</v>
      </c>
      <c r="I331" t="b">
        <v>0</v>
      </c>
      <c r="J331" t="s">
        <v>1090</v>
      </c>
      <c r="K331">
        <v>3</v>
      </c>
      <c r="Q331">
        <v>0</v>
      </c>
      <c r="R331">
        <v>0</v>
      </c>
      <c r="S331" t="b">
        <v>0</v>
      </c>
      <c r="T331" t="b">
        <f t="shared" si="12"/>
        <v>0</v>
      </c>
      <c r="U331" t="b">
        <f t="shared" si="13"/>
        <v>1</v>
      </c>
      <c r="V331" t="b">
        <f t="shared" si="14"/>
        <v>0</v>
      </c>
      <c r="W331" t="b">
        <f t="shared" si="15"/>
        <v>0</v>
      </c>
      <c r="X331" t="s">
        <v>914</v>
      </c>
    </row>
    <row r="332" spans="1:24" x14ac:dyDescent="0.25">
      <c r="A332">
        <v>1</v>
      </c>
      <c r="B332" t="s">
        <v>22</v>
      </c>
      <c r="C332">
        <v>36323788</v>
      </c>
      <c r="D332" t="s">
        <v>334</v>
      </c>
      <c r="E332" t="b">
        <v>1</v>
      </c>
      <c r="F332" t="b">
        <v>1</v>
      </c>
      <c r="G332" t="s">
        <v>495</v>
      </c>
      <c r="H332" t="b">
        <v>0</v>
      </c>
      <c r="I332" t="b">
        <v>0</v>
      </c>
      <c r="J332" t="s">
        <v>1090</v>
      </c>
      <c r="K332">
        <v>0</v>
      </c>
      <c r="O332" t="s">
        <v>1075</v>
      </c>
      <c r="Q332">
        <v>0</v>
      </c>
      <c r="R332">
        <v>0</v>
      </c>
      <c r="S332" t="b">
        <v>0</v>
      </c>
      <c r="T332" t="b">
        <f t="shared" si="12"/>
        <v>0</v>
      </c>
      <c r="U332" t="b">
        <f t="shared" si="13"/>
        <v>1</v>
      </c>
      <c r="V332" t="b">
        <f t="shared" si="14"/>
        <v>0</v>
      </c>
      <c r="W332" t="b">
        <f t="shared" si="15"/>
        <v>0</v>
      </c>
      <c r="X332" t="s">
        <v>911</v>
      </c>
    </row>
    <row r="333" spans="1:24" x14ac:dyDescent="0.25">
      <c r="A333">
        <v>1</v>
      </c>
      <c r="B333" t="s">
        <v>22</v>
      </c>
      <c r="C333">
        <v>36323788</v>
      </c>
      <c r="D333" t="s">
        <v>333</v>
      </c>
      <c r="E333" t="b">
        <v>1</v>
      </c>
      <c r="F333" t="b">
        <v>1</v>
      </c>
      <c r="G333" t="s">
        <v>495</v>
      </c>
      <c r="H333" t="b">
        <v>0</v>
      </c>
      <c r="I333" t="b">
        <v>0</v>
      </c>
      <c r="J333" t="s">
        <v>1090</v>
      </c>
      <c r="K333">
        <v>3</v>
      </c>
      <c r="Q333">
        <v>0</v>
      </c>
      <c r="R333">
        <v>0</v>
      </c>
      <c r="S333" t="b">
        <v>0</v>
      </c>
      <c r="T333" t="b">
        <f t="shared" si="12"/>
        <v>0</v>
      </c>
      <c r="U333" t="b">
        <f t="shared" si="13"/>
        <v>1</v>
      </c>
      <c r="V333" t="b">
        <f t="shared" si="14"/>
        <v>0</v>
      </c>
      <c r="W333" t="b">
        <f t="shared" si="15"/>
        <v>0</v>
      </c>
      <c r="X333" t="s">
        <v>910</v>
      </c>
    </row>
    <row r="334" spans="1:24" x14ac:dyDescent="0.25">
      <c r="A334">
        <v>1</v>
      </c>
      <c r="B334" t="s">
        <v>22</v>
      </c>
      <c r="C334">
        <v>36323788</v>
      </c>
      <c r="D334" t="s">
        <v>227</v>
      </c>
      <c r="E334" t="b">
        <v>1</v>
      </c>
      <c r="F334" t="b">
        <v>1</v>
      </c>
      <c r="G334" t="s">
        <v>504</v>
      </c>
      <c r="H334" t="b">
        <v>0</v>
      </c>
      <c r="I334" t="b">
        <v>0</v>
      </c>
      <c r="J334" t="s">
        <v>1090</v>
      </c>
      <c r="K334">
        <v>0</v>
      </c>
      <c r="Q334">
        <v>0</v>
      </c>
      <c r="R334">
        <v>0</v>
      </c>
      <c r="S334" t="b">
        <v>0</v>
      </c>
      <c r="T334" t="b">
        <f t="shared" si="12"/>
        <v>0</v>
      </c>
      <c r="U334" t="b">
        <f t="shared" si="13"/>
        <v>1</v>
      </c>
      <c r="V334" t="b">
        <f t="shared" si="14"/>
        <v>0</v>
      </c>
      <c r="W334" t="b">
        <f t="shared" si="15"/>
        <v>0</v>
      </c>
      <c r="X334" t="s">
        <v>810</v>
      </c>
    </row>
    <row r="335" spans="1:24" x14ac:dyDescent="0.25">
      <c r="A335">
        <v>1</v>
      </c>
      <c r="B335" t="s">
        <v>23</v>
      </c>
      <c r="C335">
        <v>36590292</v>
      </c>
      <c r="D335" t="s">
        <v>250</v>
      </c>
      <c r="E335" t="b">
        <v>0</v>
      </c>
      <c r="F335" t="b">
        <v>1</v>
      </c>
      <c r="G335" t="s">
        <v>510</v>
      </c>
      <c r="H335" t="b">
        <v>0</v>
      </c>
      <c r="I335" t="b">
        <v>0</v>
      </c>
      <c r="J335" t="s">
        <v>1093</v>
      </c>
      <c r="K335" s="3">
        <v>1</v>
      </c>
      <c r="L335" t="s">
        <v>581</v>
      </c>
      <c r="M335" t="s">
        <v>640</v>
      </c>
      <c r="N335" t="s">
        <v>682</v>
      </c>
      <c r="Q335">
        <v>0</v>
      </c>
      <c r="R335">
        <v>0</v>
      </c>
      <c r="S335" t="b">
        <v>1</v>
      </c>
      <c r="T335" t="b">
        <f t="shared" si="12"/>
        <v>1</v>
      </c>
      <c r="U335" t="b">
        <f t="shared" si="13"/>
        <v>0</v>
      </c>
      <c r="V335" t="b">
        <f t="shared" si="14"/>
        <v>0</v>
      </c>
      <c r="W335" t="b">
        <f t="shared" si="15"/>
        <v>0</v>
      </c>
      <c r="X335" t="s">
        <v>831</v>
      </c>
    </row>
    <row r="336" spans="1:24" x14ac:dyDescent="0.25">
      <c r="A336">
        <v>1</v>
      </c>
      <c r="B336" t="s">
        <v>23</v>
      </c>
      <c r="C336">
        <v>36590292</v>
      </c>
      <c r="D336" t="s">
        <v>246</v>
      </c>
      <c r="E336" t="b">
        <v>0</v>
      </c>
      <c r="F336" t="b">
        <v>1</v>
      </c>
      <c r="G336" t="s">
        <v>509</v>
      </c>
      <c r="H336" t="b">
        <v>0</v>
      </c>
      <c r="I336" t="b">
        <v>0</v>
      </c>
      <c r="J336" t="s">
        <v>1112</v>
      </c>
      <c r="K336">
        <v>1</v>
      </c>
      <c r="L336" t="s">
        <v>581</v>
      </c>
      <c r="M336" t="s">
        <v>640</v>
      </c>
      <c r="N336" t="s">
        <v>682</v>
      </c>
      <c r="O336" t="s">
        <v>1076</v>
      </c>
      <c r="Q336">
        <v>0</v>
      </c>
      <c r="R336">
        <v>0</v>
      </c>
      <c r="S336" t="b">
        <v>0</v>
      </c>
      <c r="T336" t="b">
        <f t="shared" si="12"/>
        <v>0</v>
      </c>
      <c r="U336" t="b">
        <f t="shared" si="13"/>
        <v>0</v>
      </c>
      <c r="V336" t="b">
        <f t="shared" si="14"/>
        <v>0</v>
      </c>
      <c r="W336" t="b">
        <f t="shared" si="15"/>
        <v>1</v>
      </c>
      <c r="X336" t="s">
        <v>827</v>
      </c>
    </row>
    <row r="337" spans="1:24" x14ac:dyDescent="0.25">
      <c r="A337">
        <v>1</v>
      </c>
      <c r="B337" t="s">
        <v>23</v>
      </c>
      <c r="C337">
        <v>36590292</v>
      </c>
      <c r="D337" t="s">
        <v>249</v>
      </c>
      <c r="E337" t="b">
        <v>0</v>
      </c>
      <c r="F337" t="b">
        <v>1</v>
      </c>
      <c r="G337" t="s">
        <v>510</v>
      </c>
      <c r="H337" t="b">
        <v>0</v>
      </c>
      <c r="I337" t="b">
        <v>0</v>
      </c>
      <c r="J337" t="s">
        <v>1093</v>
      </c>
      <c r="K337" s="3">
        <v>1</v>
      </c>
      <c r="L337" t="s">
        <v>581</v>
      </c>
      <c r="M337" t="s">
        <v>640</v>
      </c>
      <c r="N337" t="s">
        <v>682</v>
      </c>
      <c r="Q337">
        <v>0</v>
      </c>
      <c r="R337">
        <v>0</v>
      </c>
      <c r="S337" t="b">
        <v>1</v>
      </c>
      <c r="T337" t="b">
        <f t="shared" si="12"/>
        <v>1</v>
      </c>
      <c r="U337" t="b">
        <f t="shared" si="13"/>
        <v>0</v>
      </c>
      <c r="V337" t="b">
        <f t="shared" si="14"/>
        <v>0</v>
      </c>
      <c r="W337" t="b">
        <f t="shared" si="15"/>
        <v>0</v>
      </c>
      <c r="X337" t="s">
        <v>830</v>
      </c>
    </row>
    <row r="338" spans="1:24" x14ac:dyDescent="0.25">
      <c r="A338">
        <v>1</v>
      </c>
      <c r="B338" t="s">
        <v>23</v>
      </c>
      <c r="C338">
        <v>36590292</v>
      </c>
      <c r="D338" t="s">
        <v>245</v>
      </c>
      <c r="E338" t="b">
        <v>1</v>
      </c>
      <c r="F338" t="b">
        <v>1</v>
      </c>
      <c r="G338" t="s">
        <v>509</v>
      </c>
      <c r="H338" t="b">
        <v>0</v>
      </c>
      <c r="I338" t="b">
        <v>0</v>
      </c>
      <c r="J338" t="s">
        <v>1113</v>
      </c>
      <c r="K338">
        <v>1</v>
      </c>
      <c r="L338" t="s">
        <v>580</v>
      </c>
      <c r="M338" t="s">
        <v>639</v>
      </c>
      <c r="Q338">
        <v>0</v>
      </c>
      <c r="R338">
        <v>0</v>
      </c>
      <c r="S338" t="b">
        <v>0</v>
      </c>
      <c r="T338" t="b">
        <f t="shared" si="12"/>
        <v>0</v>
      </c>
      <c r="U338" t="b">
        <f t="shared" si="13"/>
        <v>1</v>
      </c>
      <c r="V338" t="b">
        <f t="shared" si="14"/>
        <v>0</v>
      </c>
      <c r="W338" t="b">
        <f t="shared" si="15"/>
        <v>0</v>
      </c>
      <c r="X338" t="s">
        <v>826</v>
      </c>
    </row>
    <row r="339" spans="1:24" x14ac:dyDescent="0.25">
      <c r="A339">
        <v>1</v>
      </c>
      <c r="B339" t="s">
        <v>23</v>
      </c>
      <c r="C339">
        <v>36590292</v>
      </c>
      <c r="D339" t="s">
        <v>248</v>
      </c>
      <c r="E339" t="b">
        <v>1</v>
      </c>
      <c r="F339" t="b">
        <v>1</v>
      </c>
      <c r="G339" t="s">
        <v>510</v>
      </c>
      <c r="H339" t="b">
        <v>0</v>
      </c>
      <c r="I339" t="b">
        <v>0</v>
      </c>
      <c r="J339" t="s">
        <v>1114</v>
      </c>
      <c r="K339">
        <v>1</v>
      </c>
      <c r="L339" t="s">
        <v>580</v>
      </c>
      <c r="M339" t="s">
        <v>639</v>
      </c>
      <c r="O339" t="s">
        <v>1077</v>
      </c>
      <c r="Q339">
        <v>0</v>
      </c>
      <c r="R339">
        <v>0</v>
      </c>
      <c r="S339" t="b">
        <v>0</v>
      </c>
      <c r="T339" t="b">
        <f t="shared" si="12"/>
        <v>0</v>
      </c>
      <c r="U339" t="b">
        <f t="shared" si="13"/>
        <v>1</v>
      </c>
      <c r="V339" t="b">
        <f t="shared" si="14"/>
        <v>0</v>
      </c>
      <c r="W339" t="b">
        <f t="shared" si="15"/>
        <v>0</v>
      </c>
      <c r="X339" t="s">
        <v>829</v>
      </c>
    </row>
    <row r="340" spans="1:24" x14ac:dyDescent="0.25">
      <c r="A340">
        <v>1</v>
      </c>
      <c r="B340" t="s">
        <v>23</v>
      </c>
      <c r="C340">
        <v>36590292</v>
      </c>
      <c r="D340" t="s">
        <v>244</v>
      </c>
      <c r="E340" t="b">
        <v>1</v>
      </c>
      <c r="F340" t="b">
        <v>1</v>
      </c>
      <c r="G340" t="s">
        <v>509</v>
      </c>
      <c r="H340" t="b">
        <v>0</v>
      </c>
      <c r="I340" t="b">
        <v>0</v>
      </c>
      <c r="J340" t="s">
        <v>1113</v>
      </c>
      <c r="K340">
        <v>0</v>
      </c>
      <c r="L340" t="s">
        <v>580</v>
      </c>
      <c r="M340" t="s">
        <v>639</v>
      </c>
      <c r="Q340">
        <v>0</v>
      </c>
      <c r="R340">
        <v>0</v>
      </c>
      <c r="S340" t="b">
        <v>0</v>
      </c>
      <c r="T340" t="b">
        <f t="shared" si="12"/>
        <v>0</v>
      </c>
      <c r="U340" t="b">
        <f t="shared" si="13"/>
        <v>1</v>
      </c>
      <c r="V340" t="b">
        <f t="shared" si="14"/>
        <v>0</v>
      </c>
      <c r="W340" t="b">
        <f t="shared" si="15"/>
        <v>0</v>
      </c>
      <c r="X340" t="s">
        <v>825</v>
      </c>
    </row>
    <row r="341" spans="1:24" x14ac:dyDescent="0.25">
      <c r="A341">
        <v>1</v>
      </c>
      <c r="B341" t="s">
        <v>23</v>
      </c>
      <c r="C341">
        <v>36590292</v>
      </c>
      <c r="D341" t="s">
        <v>379</v>
      </c>
      <c r="E341" t="b">
        <v>1</v>
      </c>
      <c r="F341" t="b">
        <v>1</v>
      </c>
      <c r="G341" t="s">
        <v>511</v>
      </c>
      <c r="H341" t="b">
        <v>0</v>
      </c>
      <c r="I341" t="b">
        <v>0</v>
      </c>
      <c r="J341" t="s">
        <v>1090</v>
      </c>
      <c r="K341">
        <v>0</v>
      </c>
      <c r="Q341">
        <v>0</v>
      </c>
      <c r="R341">
        <v>0</v>
      </c>
      <c r="S341" t="b">
        <v>0</v>
      </c>
      <c r="T341" t="b">
        <f t="shared" si="12"/>
        <v>0</v>
      </c>
      <c r="U341" t="b">
        <f t="shared" si="13"/>
        <v>1</v>
      </c>
      <c r="V341" t="b">
        <f t="shared" si="14"/>
        <v>0</v>
      </c>
      <c r="W341" t="b">
        <f t="shared" si="15"/>
        <v>0</v>
      </c>
      <c r="X341" t="s">
        <v>956</v>
      </c>
    </row>
    <row r="342" spans="1:24" x14ac:dyDescent="0.25">
      <c r="A342">
        <v>1</v>
      </c>
      <c r="B342" t="s">
        <v>23</v>
      </c>
      <c r="C342">
        <v>36590292</v>
      </c>
      <c r="D342" t="s">
        <v>247</v>
      </c>
      <c r="E342" t="b">
        <v>1</v>
      </c>
      <c r="F342" t="b">
        <v>1</v>
      </c>
      <c r="G342" t="s">
        <v>510</v>
      </c>
      <c r="H342" t="b">
        <v>0</v>
      </c>
      <c r="I342" t="b">
        <v>0</v>
      </c>
      <c r="J342" t="s">
        <v>1113</v>
      </c>
      <c r="K342">
        <v>1</v>
      </c>
      <c r="L342" t="s">
        <v>580</v>
      </c>
      <c r="M342" t="s">
        <v>639</v>
      </c>
      <c r="Q342">
        <v>0</v>
      </c>
      <c r="R342">
        <v>0</v>
      </c>
      <c r="S342" t="b">
        <v>0</v>
      </c>
      <c r="T342" t="b">
        <f t="shared" ref="T342:T405" si="16">AND(S342,NOT(E342))</f>
        <v>0</v>
      </c>
      <c r="U342" t="b">
        <f t="shared" ref="U342:U405" si="17">AND(E342,NOT(S342))</f>
        <v>1</v>
      </c>
      <c r="V342" t="b">
        <f t="shared" ref="V342:V405" si="18">AND(S342,E342)</f>
        <v>0</v>
      </c>
      <c r="W342" t="b">
        <f t="shared" ref="W342:W405" si="19">AND(NOT(S342),NOT(E342))</f>
        <v>0</v>
      </c>
      <c r="X342" t="s">
        <v>828</v>
      </c>
    </row>
    <row r="343" spans="1:24" x14ac:dyDescent="0.25">
      <c r="A343">
        <v>1</v>
      </c>
      <c r="B343" t="s">
        <v>23</v>
      </c>
      <c r="C343">
        <v>36590292</v>
      </c>
      <c r="D343" t="s">
        <v>380</v>
      </c>
      <c r="E343" t="b">
        <v>1</v>
      </c>
      <c r="F343" t="b">
        <v>1</v>
      </c>
      <c r="G343" t="s">
        <v>511</v>
      </c>
      <c r="H343" t="b">
        <v>0</v>
      </c>
      <c r="I343" t="b">
        <v>0</v>
      </c>
      <c r="J343" t="s">
        <v>1090</v>
      </c>
      <c r="K343">
        <v>0</v>
      </c>
      <c r="M343" t="s">
        <v>614</v>
      </c>
      <c r="Q343">
        <v>0</v>
      </c>
      <c r="R343">
        <v>0</v>
      </c>
      <c r="S343" t="b">
        <v>0</v>
      </c>
      <c r="T343" t="b">
        <f t="shared" si="16"/>
        <v>0</v>
      </c>
      <c r="U343" t="b">
        <f t="shared" si="17"/>
        <v>1</v>
      </c>
      <c r="V343" t="b">
        <f t="shared" si="18"/>
        <v>0</v>
      </c>
      <c r="W343" t="b">
        <f t="shared" si="19"/>
        <v>0</v>
      </c>
      <c r="X343" t="s">
        <v>957</v>
      </c>
    </row>
    <row r="344" spans="1:24" x14ac:dyDescent="0.25">
      <c r="A344">
        <v>1</v>
      </c>
      <c r="B344" t="s">
        <v>23</v>
      </c>
      <c r="C344">
        <v>36590292</v>
      </c>
      <c r="D344" t="s">
        <v>381</v>
      </c>
      <c r="E344" t="b">
        <v>1</v>
      </c>
      <c r="F344" t="b">
        <v>1</v>
      </c>
      <c r="G344" t="s">
        <v>511</v>
      </c>
      <c r="H344" t="b">
        <v>0</v>
      </c>
      <c r="I344" t="b">
        <v>0</v>
      </c>
      <c r="J344" t="s">
        <v>1090</v>
      </c>
      <c r="K344">
        <v>0</v>
      </c>
      <c r="M344" t="s">
        <v>614</v>
      </c>
      <c r="Q344">
        <v>0</v>
      </c>
      <c r="R344">
        <v>0</v>
      </c>
      <c r="S344" t="b">
        <v>0</v>
      </c>
      <c r="T344" t="b">
        <f t="shared" si="16"/>
        <v>0</v>
      </c>
      <c r="U344" t="b">
        <f t="shared" si="17"/>
        <v>1</v>
      </c>
      <c r="V344" t="b">
        <f t="shared" si="18"/>
        <v>0</v>
      </c>
      <c r="W344" t="b">
        <f t="shared" si="19"/>
        <v>0</v>
      </c>
      <c r="X344" t="s">
        <v>957</v>
      </c>
    </row>
    <row r="345" spans="1:24" x14ac:dyDescent="0.25">
      <c r="A345">
        <v>1</v>
      </c>
      <c r="B345" t="s">
        <v>23</v>
      </c>
      <c r="C345">
        <v>36590292</v>
      </c>
      <c r="D345" t="s">
        <v>251</v>
      </c>
      <c r="E345" t="b">
        <v>1</v>
      </c>
      <c r="F345" t="b">
        <v>1</v>
      </c>
      <c r="G345" t="s">
        <v>511</v>
      </c>
      <c r="H345" t="b">
        <v>0</v>
      </c>
      <c r="I345" t="b">
        <v>0</v>
      </c>
      <c r="J345" t="s">
        <v>1090</v>
      </c>
      <c r="K345">
        <v>0</v>
      </c>
      <c r="M345" t="s">
        <v>614</v>
      </c>
      <c r="Q345">
        <v>0</v>
      </c>
      <c r="R345">
        <v>0</v>
      </c>
      <c r="S345" t="b">
        <v>0</v>
      </c>
      <c r="T345" t="b">
        <f t="shared" si="16"/>
        <v>0</v>
      </c>
      <c r="U345" t="b">
        <f t="shared" si="17"/>
        <v>1</v>
      </c>
      <c r="V345" t="b">
        <f t="shared" si="18"/>
        <v>0</v>
      </c>
      <c r="W345" t="b">
        <f t="shared" si="19"/>
        <v>0</v>
      </c>
      <c r="X345" t="s">
        <v>832</v>
      </c>
    </row>
    <row r="346" spans="1:24" x14ac:dyDescent="0.25">
      <c r="A346">
        <v>1</v>
      </c>
      <c r="B346" t="s">
        <v>24</v>
      </c>
      <c r="C346">
        <v>36862688</v>
      </c>
      <c r="D346" t="s">
        <v>431</v>
      </c>
      <c r="E346" t="b">
        <v>0</v>
      </c>
      <c r="F346" t="b">
        <v>1</v>
      </c>
      <c r="G346" t="s">
        <v>549</v>
      </c>
      <c r="H346" t="b">
        <v>0</v>
      </c>
      <c r="I346" t="b">
        <v>0</v>
      </c>
      <c r="J346" t="s">
        <v>1093</v>
      </c>
      <c r="K346" s="2">
        <v>0</v>
      </c>
      <c r="L346" t="s">
        <v>563</v>
      </c>
      <c r="M346" t="s">
        <v>654</v>
      </c>
      <c r="N346" t="s">
        <v>695</v>
      </c>
      <c r="O346" t="s">
        <v>695</v>
      </c>
      <c r="Q346">
        <v>0</v>
      </c>
      <c r="R346">
        <v>0</v>
      </c>
      <c r="S346" t="b">
        <v>1</v>
      </c>
      <c r="T346" t="b">
        <f t="shared" si="16"/>
        <v>1</v>
      </c>
      <c r="U346" t="b">
        <f t="shared" si="17"/>
        <v>0</v>
      </c>
      <c r="V346" t="b">
        <f t="shared" si="18"/>
        <v>0</v>
      </c>
      <c r="W346" t="b">
        <f t="shared" si="19"/>
        <v>0</v>
      </c>
      <c r="X346" t="s">
        <v>1006</v>
      </c>
    </row>
    <row r="347" spans="1:24" x14ac:dyDescent="0.25">
      <c r="A347">
        <v>1</v>
      </c>
      <c r="B347" t="s">
        <v>24</v>
      </c>
      <c r="C347">
        <v>36862688</v>
      </c>
      <c r="D347" t="s">
        <v>427</v>
      </c>
      <c r="E347" t="b">
        <v>0</v>
      </c>
      <c r="F347" t="b">
        <v>1</v>
      </c>
      <c r="G347" t="s">
        <v>546</v>
      </c>
      <c r="H347" t="b">
        <v>0</v>
      </c>
      <c r="I347" t="b">
        <v>0</v>
      </c>
      <c r="J347" t="s">
        <v>1093</v>
      </c>
      <c r="K347" s="2">
        <v>0</v>
      </c>
      <c r="L347" t="s">
        <v>563</v>
      </c>
      <c r="M347" t="s">
        <v>654</v>
      </c>
      <c r="N347" t="s">
        <v>695</v>
      </c>
      <c r="O347" t="s">
        <v>695</v>
      </c>
      <c r="Q347">
        <v>0</v>
      </c>
      <c r="R347">
        <v>0</v>
      </c>
      <c r="S347" t="b">
        <v>1</v>
      </c>
      <c r="T347" t="b">
        <f t="shared" si="16"/>
        <v>1</v>
      </c>
      <c r="U347" t="b">
        <f t="shared" si="17"/>
        <v>0</v>
      </c>
      <c r="V347" t="b">
        <f t="shared" si="18"/>
        <v>0</v>
      </c>
      <c r="W347" t="b">
        <f t="shared" si="19"/>
        <v>0</v>
      </c>
      <c r="X347" t="s">
        <v>1002</v>
      </c>
    </row>
    <row r="348" spans="1:24" x14ac:dyDescent="0.25">
      <c r="A348">
        <v>1</v>
      </c>
      <c r="B348" t="s">
        <v>24</v>
      </c>
      <c r="C348">
        <v>36862688</v>
      </c>
      <c r="D348" t="s">
        <v>243</v>
      </c>
      <c r="E348" t="b">
        <v>0</v>
      </c>
      <c r="F348" t="b">
        <v>1</v>
      </c>
      <c r="G348" t="s">
        <v>508</v>
      </c>
      <c r="H348" t="b">
        <v>0</v>
      </c>
      <c r="I348" t="b">
        <v>0</v>
      </c>
      <c r="J348" t="s">
        <v>1093</v>
      </c>
      <c r="K348" s="2">
        <v>0</v>
      </c>
      <c r="L348" t="s">
        <v>580</v>
      </c>
      <c r="M348" t="s">
        <v>638</v>
      </c>
      <c r="N348" t="s">
        <v>686</v>
      </c>
      <c r="O348" t="s">
        <v>686</v>
      </c>
      <c r="Q348">
        <v>0</v>
      </c>
      <c r="R348">
        <v>0</v>
      </c>
      <c r="S348" t="b">
        <v>1</v>
      </c>
      <c r="T348" t="b">
        <f t="shared" si="16"/>
        <v>1</v>
      </c>
      <c r="U348" t="b">
        <f t="shared" si="17"/>
        <v>0</v>
      </c>
      <c r="V348" t="b">
        <f t="shared" si="18"/>
        <v>0</v>
      </c>
      <c r="W348" t="b">
        <f t="shared" si="19"/>
        <v>0</v>
      </c>
      <c r="X348" t="s">
        <v>824</v>
      </c>
    </row>
    <row r="349" spans="1:24" x14ac:dyDescent="0.25">
      <c r="A349">
        <v>1</v>
      </c>
      <c r="B349" t="s">
        <v>24</v>
      </c>
      <c r="C349">
        <v>36862688</v>
      </c>
      <c r="D349" t="s">
        <v>312</v>
      </c>
      <c r="E349" t="b">
        <v>1</v>
      </c>
      <c r="F349" t="b">
        <v>1</v>
      </c>
      <c r="G349" t="s">
        <v>522</v>
      </c>
      <c r="H349" t="b">
        <v>0</v>
      </c>
      <c r="I349" t="b">
        <v>0</v>
      </c>
      <c r="J349" t="s">
        <v>1090</v>
      </c>
      <c r="K349">
        <v>0</v>
      </c>
      <c r="Q349">
        <v>0</v>
      </c>
      <c r="R349">
        <v>0</v>
      </c>
      <c r="S349" t="b">
        <v>0</v>
      </c>
      <c r="T349" t="b">
        <f t="shared" si="16"/>
        <v>0</v>
      </c>
      <c r="U349" t="b">
        <f t="shared" si="17"/>
        <v>1</v>
      </c>
      <c r="V349" t="b">
        <f t="shared" si="18"/>
        <v>0</v>
      </c>
      <c r="W349" t="b">
        <f t="shared" si="19"/>
        <v>0</v>
      </c>
      <c r="X349" t="s">
        <v>890</v>
      </c>
    </row>
    <row r="350" spans="1:24" x14ac:dyDescent="0.25">
      <c r="A350">
        <v>1</v>
      </c>
      <c r="B350" t="s">
        <v>24</v>
      </c>
      <c r="C350">
        <v>36862688</v>
      </c>
      <c r="D350" t="s">
        <v>311</v>
      </c>
      <c r="E350" t="b">
        <v>1</v>
      </c>
      <c r="F350" t="b">
        <v>1</v>
      </c>
      <c r="G350" t="s">
        <v>521</v>
      </c>
      <c r="H350" t="b">
        <v>0</v>
      </c>
      <c r="I350" t="b">
        <v>0</v>
      </c>
      <c r="J350" t="s">
        <v>1090</v>
      </c>
      <c r="K350">
        <v>0</v>
      </c>
      <c r="Q350">
        <v>0</v>
      </c>
      <c r="R350">
        <v>0</v>
      </c>
      <c r="S350" t="b">
        <v>0</v>
      </c>
      <c r="T350" t="b">
        <f t="shared" si="16"/>
        <v>0</v>
      </c>
      <c r="U350" t="b">
        <f t="shared" si="17"/>
        <v>1</v>
      </c>
      <c r="V350" t="b">
        <f t="shared" si="18"/>
        <v>0</v>
      </c>
      <c r="W350" t="b">
        <f t="shared" si="19"/>
        <v>0</v>
      </c>
      <c r="X350" t="s">
        <v>889</v>
      </c>
    </row>
    <row r="351" spans="1:24" x14ac:dyDescent="0.25">
      <c r="A351">
        <v>1</v>
      </c>
      <c r="B351" t="s">
        <v>24</v>
      </c>
      <c r="C351">
        <v>36862688</v>
      </c>
      <c r="D351" t="s">
        <v>310</v>
      </c>
      <c r="E351" t="b">
        <v>1</v>
      </c>
      <c r="F351" t="b">
        <v>1</v>
      </c>
      <c r="G351" t="s">
        <v>520</v>
      </c>
      <c r="H351" t="b">
        <v>0</v>
      </c>
      <c r="I351" t="b">
        <v>0</v>
      </c>
      <c r="J351" t="s">
        <v>1090</v>
      </c>
      <c r="K351">
        <v>0</v>
      </c>
      <c r="L351" t="s">
        <v>590</v>
      </c>
      <c r="Q351">
        <v>0</v>
      </c>
      <c r="R351">
        <v>0</v>
      </c>
      <c r="S351" t="b">
        <v>0</v>
      </c>
      <c r="T351" t="b">
        <f t="shared" si="16"/>
        <v>0</v>
      </c>
      <c r="U351" t="b">
        <f t="shared" si="17"/>
        <v>1</v>
      </c>
      <c r="V351" t="b">
        <f t="shared" si="18"/>
        <v>0</v>
      </c>
      <c r="W351" t="b">
        <f t="shared" si="19"/>
        <v>0</v>
      </c>
      <c r="X351" t="s">
        <v>888</v>
      </c>
    </row>
    <row r="352" spans="1:24" x14ac:dyDescent="0.25">
      <c r="A352">
        <v>1</v>
      </c>
      <c r="B352" t="s">
        <v>24</v>
      </c>
      <c r="C352">
        <v>36862688</v>
      </c>
      <c r="D352" t="s">
        <v>309</v>
      </c>
      <c r="E352" t="b">
        <v>1</v>
      </c>
      <c r="F352" t="b">
        <v>1</v>
      </c>
      <c r="G352" t="s">
        <v>519</v>
      </c>
      <c r="H352" t="b">
        <v>0</v>
      </c>
      <c r="I352" t="b">
        <v>0</v>
      </c>
      <c r="J352" t="s">
        <v>1090</v>
      </c>
      <c r="K352">
        <v>0</v>
      </c>
      <c r="O352" t="s">
        <v>1078</v>
      </c>
      <c r="Q352">
        <v>0</v>
      </c>
      <c r="R352">
        <v>0</v>
      </c>
      <c r="S352" t="b">
        <v>0</v>
      </c>
      <c r="T352" t="b">
        <f t="shared" si="16"/>
        <v>0</v>
      </c>
      <c r="U352" t="b">
        <f t="shared" si="17"/>
        <v>1</v>
      </c>
      <c r="V352" t="b">
        <f t="shared" si="18"/>
        <v>0</v>
      </c>
      <c r="W352" t="b">
        <f t="shared" si="19"/>
        <v>0</v>
      </c>
      <c r="X352" t="s">
        <v>887</v>
      </c>
    </row>
    <row r="353" spans="1:24" x14ac:dyDescent="0.25">
      <c r="A353">
        <v>1</v>
      </c>
      <c r="B353" t="s">
        <v>24</v>
      </c>
      <c r="C353">
        <v>36862688</v>
      </c>
      <c r="D353" t="s">
        <v>401</v>
      </c>
      <c r="E353" t="b">
        <v>0</v>
      </c>
      <c r="F353" t="b">
        <v>1</v>
      </c>
      <c r="G353" t="s">
        <v>538</v>
      </c>
      <c r="H353" t="b">
        <v>0</v>
      </c>
      <c r="I353" t="b">
        <v>0</v>
      </c>
      <c r="J353" t="s">
        <v>1093</v>
      </c>
      <c r="K353" s="2">
        <v>0</v>
      </c>
      <c r="L353" t="s">
        <v>580</v>
      </c>
      <c r="M353" t="s">
        <v>638</v>
      </c>
      <c r="N353" t="s">
        <v>686</v>
      </c>
      <c r="O353" t="s">
        <v>686</v>
      </c>
      <c r="Q353">
        <v>0</v>
      </c>
      <c r="R353">
        <v>0</v>
      </c>
      <c r="S353" t="b">
        <v>1</v>
      </c>
      <c r="T353" t="b">
        <f t="shared" si="16"/>
        <v>1</v>
      </c>
      <c r="U353" t="b">
        <f t="shared" si="17"/>
        <v>0</v>
      </c>
      <c r="V353" t="b">
        <f t="shared" si="18"/>
        <v>0</v>
      </c>
      <c r="W353" t="b">
        <f t="shared" si="19"/>
        <v>0</v>
      </c>
      <c r="X353" t="s">
        <v>977</v>
      </c>
    </row>
    <row r="354" spans="1:24" x14ac:dyDescent="0.25">
      <c r="A354">
        <v>1</v>
      </c>
      <c r="B354" t="s">
        <v>24</v>
      </c>
      <c r="C354">
        <v>36862688</v>
      </c>
      <c r="D354" t="s">
        <v>400</v>
      </c>
      <c r="E354" t="b">
        <v>1</v>
      </c>
      <c r="F354" t="b">
        <v>1</v>
      </c>
      <c r="G354" t="s">
        <v>537</v>
      </c>
      <c r="H354" t="b">
        <v>0</v>
      </c>
      <c r="I354" t="b">
        <v>0</v>
      </c>
      <c r="J354" t="s">
        <v>1090</v>
      </c>
      <c r="K354">
        <v>0</v>
      </c>
      <c r="M354" t="s">
        <v>644</v>
      </c>
      <c r="Q354">
        <v>0</v>
      </c>
      <c r="R354">
        <v>0</v>
      </c>
      <c r="S354" t="b">
        <v>0</v>
      </c>
      <c r="T354" t="b">
        <f t="shared" si="16"/>
        <v>0</v>
      </c>
      <c r="U354" t="b">
        <f t="shared" si="17"/>
        <v>1</v>
      </c>
      <c r="V354" t="b">
        <f t="shared" si="18"/>
        <v>0</v>
      </c>
      <c r="W354" t="b">
        <f t="shared" si="19"/>
        <v>0</v>
      </c>
      <c r="X354" t="s">
        <v>976</v>
      </c>
    </row>
    <row r="355" spans="1:24" x14ac:dyDescent="0.25">
      <c r="A355">
        <v>1</v>
      </c>
      <c r="B355" t="s">
        <v>24</v>
      </c>
      <c r="C355">
        <v>36862688</v>
      </c>
      <c r="D355" t="s">
        <v>429</v>
      </c>
      <c r="E355" t="b">
        <v>0</v>
      </c>
      <c r="F355" t="b">
        <v>1</v>
      </c>
      <c r="G355" t="s">
        <v>548</v>
      </c>
      <c r="H355" t="b">
        <v>0</v>
      </c>
      <c r="I355" t="b">
        <v>0</v>
      </c>
      <c r="J355" t="s">
        <v>1093</v>
      </c>
      <c r="K355" s="2">
        <v>0</v>
      </c>
      <c r="L355" t="s">
        <v>580</v>
      </c>
      <c r="M355" t="s">
        <v>638</v>
      </c>
      <c r="N355" t="s">
        <v>686</v>
      </c>
      <c r="O355" t="s">
        <v>686</v>
      </c>
      <c r="Q355">
        <v>0</v>
      </c>
      <c r="R355">
        <v>0</v>
      </c>
      <c r="S355" t="b">
        <v>1</v>
      </c>
      <c r="T355" t="b">
        <f t="shared" si="16"/>
        <v>1</v>
      </c>
      <c r="U355" t="b">
        <f t="shared" si="17"/>
        <v>0</v>
      </c>
      <c r="V355" t="b">
        <f t="shared" si="18"/>
        <v>0</v>
      </c>
      <c r="W355" t="b">
        <f t="shared" si="19"/>
        <v>0</v>
      </c>
      <c r="X355" t="s">
        <v>1004</v>
      </c>
    </row>
    <row r="356" spans="1:24" x14ac:dyDescent="0.25">
      <c r="A356">
        <v>1</v>
      </c>
      <c r="B356" t="s">
        <v>24</v>
      </c>
      <c r="C356">
        <v>36862688</v>
      </c>
      <c r="D356" t="s">
        <v>428</v>
      </c>
      <c r="E356" t="b">
        <v>0</v>
      </c>
      <c r="F356" t="b">
        <v>1</v>
      </c>
      <c r="G356" t="s">
        <v>547</v>
      </c>
      <c r="H356" t="b">
        <v>0</v>
      </c>
      <c r="I356" t="b">
        <v>0</v>
      </c>
      <c r="J356" t="s">
        <v>1093</v>
      </c>
      <c r="K356" s="2">
        <v>0</v>
      </c>
      <c r="L356" t="s">
        <v>580</v>
      </c>
      <c r="M356" t="s">
        <v>638</v>
      </c>
      <c r="N356" t="s">
        <v>686</v>
      </c>
      <c r="O356" t="s">
        <v>686</v>
      </c>
      <c r="Q356">
        <v>0</v>
      </c>
      <c r="R356">
        <v>0</v>
      </c>
      <c r="S356" t="b">
        <v>1</v>
      </c>
      <c r="T356" t="b">
        <f t="shared" si="16"/>
        <v>1</v>
      </c>
      <c r="U356" t="b">
        <f t="shared" si="17"/>
        <v>0</v>
      </c>
      <c r="V356" t="b">
        <f t="shared" si="18"/>
        <v>0</v>
      </c>
      <c r="W356" t="b">
        <f t="shared" si="19"/>
        <v>0</v>
      </c>
      <c r="X356" t="s">
        <v>1003</v>
      </c>
    </row>
    <row r="357" spans="1:24" x14ac:dyDescent="0.25">
      <c r="A357">
        <v>1</v>
      </c>
      <c r="B357" t="s">
        <v>24</v>
      </c>
      <c r="C357">
        <v>36862688</v>
      </c>
      <c r="D357" t="s">
        <v>299</v>
      </c>
      <c r="E357" t="b">
        <v>1</v>
      </c>
      <c r="F357" t="b">
        <v>1</v>
      </c>
      <c r="G357" t="s">
        <v>517</v>
      </c>
      <c r="H357" t="b">
        <v>0</v>
      </c>
      <c r="I357" t="b">
        <v>0</v>
      </c>
      <c r="J357" t="s">
        <v>1090</v>
      </c>
      <c r="K357">
        <v>0</v>
      </c>
      <c r="M357" t="s">
        <v>644</v>
      </c>
      <c r="Q357">
        <v>0</v>
      </c>
      <c r="R357">
        <v>0</v>
      </c>
      <c r="S357" t="b">
        <v>0</v>
      </c>
      <c r="T357" t="b">
        <f t="shared" si="16"/>
        <v>0</v>
      </c>
      <c r="U357" t="b">
        <f t="shared" si="17"/>
        <v>1</v>
      </c>
      <c r="V357" t="b">
        <f t="shared" si="18"/>
        <v>0</v>
      </c>
      <c r="W357" t="b">
        <f t="shared" si="19"/>
        <v>0</v>
      </c>
      <c r="X357" t="s">
        <v>877</v>
      </c>
    </row>
    <row r="358" spans="1:24" x14ac:dyDescent="0.25">
      <c r="A358">
        <v>1</v>
      </c>
      <c r="B358" t="s">
        <v>24</v>
      </c>
      <c r="C358">
        <v>36862688</v>
      </c>
      <c r="D358" t="s">
        <v>430</v>
      </c>
      <c r="E358" t="b">
        <v>1</v>
      </c>
      <c r="F358" t="b">
        <v>1</v>
      </c>
      <c r="G358" t="s">
        <v>549</v>
      </c>
      <c r="H358" t="b">
        <v>0</v>
      </c>
      <c r="I358" t="b">
        <v>0</v>
      </c>
      <c r="J358" t="s">
        <v>1090</v>
      </c>
      <c r="K358">
        <v>0</v>
      </c>
      <c r="O358" t="s">
        <v>1079</v>
      </c>
      <c r="Q358">
        <v>0</v>
      </c>
      <c r="R358">
        <v>0</v>
      </c>
      <c r="S358" t="b">
        <v>0</v>
      </c>
      <c r="T358" t="b">
        <f t="shared" si="16"/>
        <v>0</v>
      </c>
      <c r="U358" t="b">
        <f t="shared" si="17"/>
        <v>1</v>
      </c>
      <c r="V358" t="b">
        <f t="shared" si="18"/>
        <v>0</v>
      </c>
      <c r="W358" t="b">
        <f t="shared" si="19"/>
        <v>0</v>
      </c>
      <c r="X358" t="s">
        <v>1005</v>
      </c>
    </row>
    <row r="359" spans="1:24" x14ac:dyDescent="0.25">
      <c r="A359">
        <v>1</v>
      </c>
      <c r="B359" t="s">
        <v>24</v>
      </c>
      <c r="C359">
        <v>36862688</v>
      </c>
      <c r="D359" t="s">
        <v>426</v>
      </c>
      <c r="E359" t="b">
        <v>1</v>
      </c>
      <c r="F359" t="b">
        <v>1</v>
      </c>
      <c r="G359" t="s">
        <v>546</v>
      </c>
      <c r="H359" t="b">
        <v>0</v>
      </c>
      <c r="I359" t="b">
        <v>0</v>
      </c>
      <c r="J359" t="s">
        <v>1090</v>
      </c>
      <c r="K359">
        <v>0</v>
      </c>
      <c r="O359" t="s">
        <v>1079</v>
      </c>
      <c r="Q359">
        <v>0</v>
      </c>
      <c r="R359">
        <v>0</v>
      </c>
      <c r="S359" t="b">
        <v>0</v>
      </c>
      <c r="T359" t="b">
        <f t="shared" si="16"/>
        <v>0</v>
      </c>
      <c r="U359" t="b">
        <f t="shared" si="17"/>
        <v>1</v>
      </c>
      <c r="V359" t="b">
        <f t="shared" si="18"/>
        <v>0</v>
      </c>
      <c r="W359" t="b">
        <f t="shared" si="19"/>
        <v>0</v>
      </c>
      <c r="X359" t="s">
        <v>1001</v>
      </c>
    </row>
    <row r="360" spans="1:24" x14ac:dyDescent="0.25">
      <c r="A360">
        <v>1</v>
      </c>
      <c r="B360" t="s">
        <v>24</v>
      </c>
      <c r="C360">
        <v>36862688</v>
      </c>
      <c r="D360" t="s">
        <v>399</v>
      </c>
      <c r="E360" t="b">
        <v>1</v>
      </c>
      <c r="F360" t="b">
        <v>1</v>
      </c>
      <c r="G360" t="s">
        <v>514</v>
      </c>
      <c r="H360" t="b">
        <v>0</v>
      </c>
      <c r="I360" t="b">
        <v>0</v>
      </c>
      <c r="J360" t="s">
        <v>1086</v>
      </c>
      <c r="K360">
        <v>0</v>
      </c>
      <c r="L360" t="s">
        <v>584</v>
      </c>
      <c r="M360" t="s">
        <v>642</v>
      </c>
      <c r="Q360">
        <v>0</v>
      </c>
      <c r="R360">
        <v>0</v>
      </c>
      <c r="S360" t="b">
        <v>0</v>
      </c>
      <c r="T360" t="b">
        <f t="shared" si="16"/>
        <v>0</v>
      </c>
      <c r="U360" t="b">
        <f t="shared" si="17"/>
        <v>1</v>
      </c>
      <c r="V360" t="b">
        <f t="shared" si="18"/>
        <v>0</v>
      </c>
      <c r="W360" t="b">
        <f t="shared" si="19"/>
        <v>0</v>
      </c>
      <c r="X360" t="s">
        <v>975</v>
      </c>
    </row>
    <row r="361" spans="1:24" x14ac:dyDescent="0.25">
      <c r="A361">
        <v>1</v>
      </c>
      <c r="B361" t="s">
        <v>24</v>
      </c>
      <c r="C361">
        <v>36862688</v>
      </c>
      <c r="D361" t="s">
        <v>298</v>
      </c>
      <c r="E361" t="b">
        <v>1</v>
      </c>
      <c r="F361" t="b">
        <v>1</v>
      </c>
      <c r="G361" t="s">
        <v>516</v>
      </c>
      <c r="H361" t="b">
        <v>0</v>
      </c>
      <c r="I361" t="b">
        <v>0</v>
      </c>
      <c r="J361" t="s">
        <v>1086</v>
      </c>
      <c r="K361">
        <v>0</v>
      </c>
      <c r="L361" t="s">
        <v>584</v>
      </c>
      <c r="M361" t="s">
        <v>642</v>
      </c>
      <c r="Q361">
        <v>0</v>
      </c>
      <c r="R361">
        <v>0</v>
      </c>
      <c r="S361" t="b">
        <v>0</v>
      </c>
      <c r="T361" t="b">
        <f t="shared" si="16"/>
        <v>0</v>
      </c>
      <c r="U361" t="b">
        <f t="shared" si="17"/>
        <v>1</v>
      </c>
      <c r="V361" t="b">
        <f t="shared" si="18"/>
        <v>0</v>
      </c>
      <c r="W361" t="b">
        <f t="shared" si="19"/>
        <v>0</v>
      </c>
      <c r="X361" t="s">
        <v>876</v>
      </c>
    </row>
    <row r="362" spans="1:24" x14ac:dyDescent="0.25">
      <c r="A362">
        <v>1</v>
      </c>
      <c r="B362" t="s">
        <v>24</v>
      </c>
      <c r="C362">
        <v>36862688</v>
      </c>
      <c r="D362" t="s">
        <v>398</v>
      </c>
      <c r="E362" t="b">
        <v>1</v>
      </c>
      <c r="F362" t="b">
        <v>1</v>
      </c>
      <c r="G362" t="s">
        <v>514</v>
      </c>
      <c r="H362" t="b">
        <v>0</v>
      </c>
      <c r="I362" t="b">
        <v>0</v>
      </c>
      <c r="J362" t="s">
        <v>1086</v>
      </c>
      <c r="K362">
        <v>0</v>
      </c>
      <c r="L362" t="s">
        <v>584</v>
      </c>
      <c r="M362" t="s">
        <v>642</v>
      </c>
      <c r="Q362">
        <v>0</v>
      </c>
      <c r="R362">
        <v>0</v>
      </c>
      <c r="S362" t="b">
        <v>0</v>
      </c>
      <c r="T362" t="b">
        <f t="shared" si="16"/>
        <v>0</v>
      </c>
      <c r="U362" t="b">
        <f t="shared" si="17"/>
        <v>1</v>
      </c>
      <c r="V362" t="b">
        <f t="shared" si="18"/>
        <v>0</v>
      </c>
      <c r="W362" t="b">
        <f t="shared" si="19"/>
        <v>0</v>
      </c>
      <c r="X362" t="s">
        <v>974</v>
      </c>
    </row>
    <row r="363" spans="1:24" x14ac:dyDescent="0.25">
      <c r="A363">
        <v>1</v>
      </c>
      <c r="B363" t="s">
        <v>24</v>
      </c>
      <c r="C363">
        <v>36862688</v>
      </c>
      <c r="D363" t="s">
        <v>297</v>
      </c>
      <c r="E363" t="b">
        <v>1</v>
      </c>
      <c r="F363" t="b">
        <v>1</v>
      </c>
      <c r="G363" t="s">
        <v>516</v>
      </c>
      <c r="H363" t="b">
        <v>0</v>
      </c>
      <c r="I363" t="b">
        <v>0</v>
      </c>
      <c r="J363" t="s">
        <v>1086</v>
      </c>
      <c r="K363">
        <v>0</v>
      </c>
      <c r="L363" t="s">
        <v>584</v>
      </c>
      <c r="M363" t="s">
        <v>642</v>
      </c>
      <c r="Q363">
        <v>0</v>
      </c>
      <c r="R363">
        <v>0</v>
      </c>
      <c r="S363" t="b">
        <v>0</v>
      </c>
      <c r="T363" t="b">
        <f t="shared" si="16"/>
        <v>0</v>
      </c>
      <c r="U363" t="b">
        <f t="shared" si="17"/>
        <v>1</v>
      </c>
      <c r="V363" t="b">
        <f t="shared" si="18"/>
        <v>0</v>
      </c>
      <c r="W363" t="b">
        <f t="shared" si="19"/>
        <v>0</v>
      </c>
      <c r="X363" t="s">
        <v>862</v>
      </c>
    </row>
    <row r="364" spans="1:24" x14ac:dyDescent="0.25">
      <c r="A364">
        <v>1</v>
      </c>
      <c r="B364" t="s">
        <v>24</v>
      </c>
      <c r="C364">
        <v>36862688</v>
      </c>
      <c r="D364" t="s">
        <v>397</v>
      </c>
      <c r="E364" t="b">
        <v>1</v>
      </c>
      <c r="F364" t="b">
        <v>1</v>
      </c>
      <c r="G364" t="s">
        <v>514</v>
      </c>
      <c r="H364" t="b">
        <v>0</v>
      </c>
      <c r="I364" t="b">
        <v>0</v>
      </c>
      <c r="J364" t="s">
        <v>1086</v>
      </c>
      <c r="K364">
        <v>0</v>
      </c>
      <c r="L364" t="s">
        <v>584</v>
      </c>
      <c r="M364" t="s">
        <v>642</v>
      </c>
      <c r="Q364">
        <v>0</v>
      </c>
      <c r="R364">
        <v>0</v>
      </c>
      <c r="S364" t="b">
        <v>0</v>
      </c>
      <c r="T364" t="b">
        <f t="shared" si="16"/>
        <v>0</v>
      </c>
      <c r="U364" t="b">
        <f t="shared" si="17"/>
        <v>1</v>
      </c>
      <c r="V364" t="b">
        <f t="shared" si="18"/>
        <v>0</v>
      </c>
      <c r="W364" t="b">
        <f t="shared" si="19"/>
        <v>0</v>
      </c>
      <c r="X364" t="s">
        <v>973</v>
      </c>
    </row>
    <row r="365" spans="1:24" x14ac:dyDescent="0.25">
      <c r="A365">
        <v>1</v>
      </c>
      <c r="B365" t="s">
        <v>24</v>
      </c>
      <c r="C365">
        <v>36862688</v>
      </c>
      <c r="D365" t="s">
        <v>296</v>
      </c>
      <c r="E365" t="b">
        <v>1</v>
      </c>
      <c r="F365" t="b">
        <v>1</v>
      </c>
      <c r="G365" t="s">
        <v>516</v>
      </c>
      <c r="H365" t="b">
        <v>0</v>
      </c>
      <c r="I365" t="b">
        <v>0</v>
      </c>
      <c r="J365" t="s">
        <v>1086</v>
      </c>
      <c r="K365">
        <v>0</v>
      </c>
      <c r="L365" t="s">
        <v>584</v>
      </c>
      <c r="M365" t="s">
        <v>642</v>
      </c>
      <c r="Q365">
        <v>0</v>
      </c>
      <c r="R365">
        <v>0</v>
      </c>
      <c r="S365" t="b">
        <v>0</v>
      </c>
      <c r="T365" t="b">
        <f t="shared" si="16"/>
        <v>0</v>
      </c>
      <c r="U365" t="b">
        <f t="shared" si="17"/>
        <v>1</v>
      </c>
      <c r="V365" t="b">
        <f t="shared" si="18"/>
        <v>0</v>
      </c>
      <c r="W365" t="b">
        <f t="shared" si="19"/>
        <v>0</v>
      </c>
      <c r="X365" t="s">
        <v>875</v>
      </c>
    </row>
    <row r="366" spans="1:24" x14ac:dyDescent="0.25">
      <c r="A366">
        <v>1</v>
      </c>
      <c r="B366" t="s">
        <v>24</v>
      </c>
      <c r="C366">
        <v>36862688</v>
      </c>
      <c r="D366" t="s">
        <v>396</v>
      </c>
      <c r="E366" t="b">
        <v>1</v>
      </c>
      <c r="F366" t="b">
        <v>1</v>
      </c>
      <c r="G366" t="s">
        <v>514</v>
      </c>
      <c r="H366" t="b">
        <v>0</v>
      </c>
      <c r="I366" t="b">
        <v>0</v>
      </c>
      <c r="J366" t="s">
        <v>1086</v>
      </c>
      <c r="K366">
        <v>0</v>
      </c>
      <c r="L366" t="s">
        <v>584</v>
      </c>
      <c r="M366" t="s">
        <v>642</v>
      </c>
      <c r="Q366">
        <v>0</v>
      </c>
      <c r="R366">
        <v>0</v>
      </c>
      <c r="S366" t="b">
        <v>0</v>
      </c>
      <c r="T366" t="b">
        <f t="shared" si="16"/>
        <v>0</v>
      </c>
      <c r="U366" t="b">
        <f t="shared" si="17"/>
        <v>1</v>
      </c>
      <c r="V366" t="b">
        <f t="shared" si="18"/>
        <v>0</v>
      </c>
      <c r="W366" t="b">
        <f t="shared" si="19"/>
        <v>0</v>
      </c>
      <c r="X366" t="s">
        <v>972</v>
      </c>
    </row>
    <row r="367" spans="1:24" x14ac:dyDescent="0.25">
      <c r="A367">
        <v>1</v>
      </c>
      <c r="B367" t="s">
        <v>24</v>
      </c>
      <c r="C367">
        <v>36862688</v>
      </c>
      <c r="D367" t="s">
        <v>295</v>
      </c>
      <c r="E367" t="b">
        <v>1</v>
      </c>
      <c r="F367" t="b">
        <v>1</v>
      </c>
      <c r="G367" t="s">
        <v>516</v>
      </c>
      <c r="H367" t="b">
        <v>0</v>
      </c>
      <c r="I367" t="b">
        <v>0</v>
      </c>
      <c r="J367" t="s">
        <v>1086</v>
      </c>
      <c r="K367">
        <v>0</v>
      </c>
      <c r="L367" t="s">
        <v>584</v>
      </c>
      <c r="M367" t="s">
        <v>642</v>
      </c>
      <c r="Q367">
        <v>0</v>
      </c>
      <c r="R367">
        <v>0</v>
      </c>
      <c r="S367" t="b">
        <v>0</v>
      </c>
      <c r="T367" t="b">
        <f t="shared" si="16"/>
        <v>0</v>
      </c>
      <c r="U367" t="b">
        <f t="shared" si="17"/>
        <v>1</v>
      </c>
      <c r="V367" t="b">
        <f t="shared" si="18"/>
        <v>0</v>
      </c>
      <c r="W367" t="b">
        <f t="shared" si="19"/>
        <v>0</v>
      </c>
      <c r="X367" t="s">
        <v>874</v>
      </c>
    </row>
    <row r="368" spans="1:24" x14ac:dyDescent="0.25">
      <c r="A368">
        <v>1</v>
      </c>
      <c r="B368" t="s">
        <v>24</v>
      </c>
      <c r="C368">
        <v>36862688</v>
      </c>
      <c r="D368" t="s">
        <v>395</v>
      </c>
      <c r="E368" t="b">
        <v>1</v>
      </c>
      <c r="F368" t="b">
        <v>1</v>
      </c>
      <c r="G368" t="s">
        <v>514</v>
      </c>
      <c r="H368" t="b">
        <v>0</v>
      </c>
      <c r="I368" t="b">
        <v>0</v>
      </c>
      <c r="J368" t="s">
        <v>1086</v>
      </c>
      <c r="K368">
        <v>0</v>
      </c>
      <c r="L368" t="s">
        <v>584</v>
      </c>
      <c r="M368" t="s">
        <v>642</v>
      </c>
      <c r="Q368">
        <v>0</v>
      </c>
      <c r="R368">
        <v>0</v>
      </c>
      <c r="S368" t="b">
        <v>0</v>
      </c>
      <c r="T368" t="b">
        <f t="shared" si="16"/>
        <v>0</v>
      </c>
      <c r="U368" t="b">
        <f t="shared" si="17"/>
        <v>1</v>
      </c>
      <c r="V368" t="b">
        <f t="shared" si="18"/>
        <v>0</v>
      </c>
      <c r="W368" t="b">
        <f t="shared" si="19"/>
        <v>0</v>
      </c>
      <c r="X368" t="s">
        <v>971</v>
      </c>
    </row>
    <row r="369" spans="1:24" x14ac:dyDescent="0.25">
      <c r="A369">
        <v>1</v>
      </c>
      <c r="B369" t="s">
        <v>24</v>
      </c>
      <c r="C369">
        <v>36862688</v>
      </c>
      <c r="D369" t="s">
        <v>294</v>
      </c>
      <c r="E369" t="b">
        <v>1</v>
      </c>
      <c r="F369" t="b">
        <v>1</v>
      </c>
      <c r="G369" t="s">
        <v>516</v>
      </c>
      <c r="H369" t="b">
        <v>0</v>
      </c>
      <c r="I369" t="b">
        <v>0</v>
      </c>
      <c r="J369" t="s">
        <v>1086</v>
      </c>
      <c r="K369">
        <v>0</v>
      </c>
      <c r="L369" t="s">
        <v>584</v>
      </c>
      <c r="M369" t="s">
        <v>642</v>
      </c>
      <c r="Q369">
        <v>0</v>
      </c>
      <c r="R369">
        <v>0</v>
      </c>
      <c r="S369" t="b">
        <v>0</v>
      </c>
      <c r="T369" t="b">
        <f t="shared" si="16"/>
        <v>0</v>
      </c>
      <c r="U369" t="b">
        <f t="shared" si="17"/>
        <v>1</v>
      </c>
      <c r="V369" t="b">
        <f t="shared" si="18"/>
        <v>0</v>
      </c>
      <c r="W369" t="b">
        <f t="shared" si="19"/>
        <v>0</v>
      </c>
      <c r="X369" t="s">
        <v>873</v>
      </c>
    </row>
    <row r="370" spans="1:24" x14ac:dyDescent="0.25">
      <c r="A370">
        <v>1</v>
      </c>
      <c r="B370" t="s">
        <v>24</v>
      </c>
      <c r="C370">
        <v>36862688</v>
      </c>
      <c r="D370" t="s">
        <v>267</v>
      </c>
      <c r="E370" t="b">
        <v>1</v>
      </c>
      <c r="F370" t="b">
        <v>1</v>
      </c>
      <c r="G370" t="s">
        <v>514</v>
      </c>
      <c r="H370" t="b">
        <v>0</v>
      </c>
      <c r="I370" t="b">
        <v>0</v>
      </c>
      <c r="J370" t="s">
        <v>1086</v>
      </c>
      <c r="K370">
        <v>0</v>
      </c>
      <c r="L370" t="s">
        <v>584</v>
      </c>
      <c r="M370" t="s">
        <v>642</v>
      </c>
      <c r="Q370">
        <v>0</v>
      </c>
      <c r="R370">
        <v>0</v>
      </c>
      <c r="S370" t="b">
        <v>0</v>
      </c>
      <c r="T370" t="b">
        <f t="shared" si="16"/>
        <v>0</v>
      </c>
      <c r="U370" t="b">
        <f t="shared" si="17"/>
        <v>1</v>
      </c>
      <c r="V370" t="b">
        <f t="shared" si="18"/>
        <v>0</v>
      </c>
      <c r="W370" t="b">
        <f t="shared" si="19"/>
        <v>0</v>
      </c>
      <c r="X370" t="s">
        <v>847</v>
      </c>
    </row>
    <row r="371" spans="1:24" x14ac:dyDescent="0.25">
      <c r="A371">
        <v>1</v>
      </c>
      <c r="B371" t="s">
        <v>24</v>
      </c>
      <c r="C371">
        <v>36862688</v>
      </c>
      <c r="D371" t="s">
        <v>293</v>
      </c>
      <c r="E371" t="b">
        <v>1</v>
      </c>
      <c r="F371" t="b">
        <v>1</v>
      </c>
      <c r="G371" t="s">
        <v>516</v>
      </c>
      <c r="H371" t="b">
        <v>0</v>
      </c>
      <c r="I371" t="b">
        <v>0</v>
      </c>
      <c r="J371" t="s">
        <v>1086</v>
      </c>
      <c r="K371">
        <v>0</v>
      </c>
      <c r="L371" t="s">
        <v>584</v>
      </c>
      <c r="M371" t="s">
        <v>642</v>
      </c>
      <c r="Q371">
        <v>0</v>
      </c>
      <c r="R371">
        <v>0</v>
      </c>
      <c r="S371" t="b">
        <v>0</v>
      </c>
      <c r="T371" t="b">
        <f t="shared" si="16"/>
        <v>0</v>
      </c>
      <c r="U371" t="b">
        <f t="shared" si="17"/>
        <v>1</v>
      </c>
      <c r="V371" t="b">
        <f t="shared" si="18"/>
        <v>0</v>
      </c>
      <c r="W371" t="b">
        <f t="shared" si="19"/>
        <v>0</v>
      </c>
      <c r="X371" t="s">
        <v>872</v>
      </c>
    </row>
    <row r="372" spans="1:24" x14ac:dyDescent="0.25">
      <c r="A372">
        <v>1</v>
      </c>
      <c r="B372" t="s">
        <v>24</v>
      </c>
      <c r="C372">
        <v>36862688</v>
      </c>
      <c r="D372" t="s">
        <v>266</v>
      </c>
      <c r="E372" t="b">
        <v>1</v>
      </c>
      <c r="F372" t="b">
        <v>1</v>
      </c>
      <c r="G372" t="s">
        <v>514</v>
      </c>
      <c r="H372" t="b">
        <v>0</v>
      </c>
      <c r="I372" t="b">
        <v>0</v>
      </c>
      <c r="J372" t="s">
        <v>1086</v>
      </c>
      <c r="K372">
        <v>0</v>
      </c>
      <c r="L372" t="s">
        <v>584</v>
      </c>
      <c r="M372" t="s">
        <v>642</v>
      </c>
      <c r="Q372">
        <v>0</v>
      </c>
      <c r="R372">
        <v>0</v>
      </c>
      <c r="S372" t="b">
        <v>0</v>
      </c>
      <c r="T372" t="b">
        <f t="shared" si="16"/>
        <v>0</v>
      </c>
      <c r="U372" t="b">
        <f t="shared" si="17"/>
        <v>1</v>
      </c>
      <c r="V372" t="b">
        <f t="shared" si="18"/>
        <v>0</v>
      </c>
      <c r="W372" t="b">
        <f t="shared" si="19"/>
        <v>0</v>
      </c>
      <c r="X372" t="s">
        <v>846</v>
      </c>
    </row>
    <row r="373" spans="1:24" x14ac:dyDescent="0.25">
      <c r="A373">
        <v>1</v>
      </c>
      <c r="B373" t="s">
        <v>24</v>
      </c>
      <c r="C373">
        <v>36862688</v>
      </c>
      <c r="D373" t="s">
        <v>292</v>
      </c>
      <c r="E373" t="b">
        <v>1</v>
      </c>
      <c r="F373" t="b">
        <v>1</v>
      </c>
      <c r="G373" t="s">
        <v>516</v>
      </c>
      <c r="H373" t="b">
        <v>0</v>
      </c>
      <c r="I373" t="b">
        <v>0</v>
      </c>
      <c r="J373" t="s">
        <v>1086</v>
      </c>
      <c r="K373">
        <v>0</v>
      </c>
      <c r="L373" t="s">
        <v>584</v>
      </c>
      <c r="M373" t="s">
        <v>642</v>
      </c>
      <c r="Q373">
        <v>0</v>
      </c>
      <c r="R373">
        <v>0</v>
      </c>
      <c r="S373" t="b">
        <v>0</v>
      </c>
      <c r="T373" t="b">
        <f t="shared" si="16"/>
        <v>0</v>
      </c>
      <c r="U373" t="b">
        <f t="shared" si="17"/>
        <v>1</v>
      </c>
      <c r="V373" t="b">
        <f t="shared" si="18"/>
        <v>0</v>
      </c>
      <c r="W373" t="b">
        <f t="shared" si="19"/>
        <v>0</v>
      </c>
      <c r="X373" t="s">
        <v>871</v>
      </c>
    </row>
    <row r="374" spans="1:24" x14ac:dyDescent="0.25">
      <c r="A374">
        <v>1</v>
      </c>
      <c r="B374" t="s">
        <v>24</v>
      </c>
      <c r="C374">
        <v>36862688</v>
      </c>
      <c r="D374" t="s">
        <v>265</v>
      </c>
      <c r="E374" t="b">
        <v>1</v>
      </c>
      <c r="F374" t="b">
        <v>1</v>
      </c>
      <c r="G374" t="s">
        <v>514</v>
      </c>
      <c r="H374" t="b">
        <v>0</v>
      </c>
      <c r="I374" t="b">
        <v>0</v>
      </c>
      <c r="J374" t="s">
        <v>1086</v>
      </c>
      <c r="K374">
        <v>0</v>
      </c>
      <c r="L374" t="s">
        <v>584</v>
      </c>
      <c r="M374" t="s">
        <v>642</v>
      </c>
      <c r="Q374">
        <v>0</v>
      </c>
      <c r="R374">
        <v>0</v>
      </c>
      <c r="S374" t="b">
        <v>0</v>
      </c>
      <c r="T374" t="b">
        <f t="shared" si="16"/>
        <v>0</v>
      </c>
      <c r="U374" t="b">
        <f t="shared" si="17"/>
        <v>1</v>
      </c>
      <c r="V374" t="b">
        <f t="shared" si="18"/>
        <v>0</v>
      </c>
      <c r="W374" t="b">
        <f t="shared" si="19"/>
        <v>0</v>
      </c>
      <c r="X374" t="s">
        <v>845</v>
      </c>
    </row>
    <row r="375" spans="1:24" x14ac:dyDescent="0.25">
      <c r="A375">
        <v>1</v>
      </c>
      <c r="B375" t="s">
        <v>24</v>
      </c>
      <c r="C375">
        <v>36862688</v>
      </c>
      <c r="D375" t="s">
        <v>291</v>
      </c>
      <c r="E375" t="b">
        <v>1</v>
      </c>
      <c r="F375" t="b">
        <v>1</v>
      </c>
      <c r="G375" t="s">
        <v>516</v>
      </c>
      <c r="H375" t="b">
        <v>0</v>
      </c>
      <c r="I375" t="b">
        <v>0</v>
      </c>
      <c r="J375" t="s">
        <v>1086</v>
      </c>
      <c r="K375">
        <v>0</v>
      </c>
      <c r="L375" t="s">
        <v>584</v>
      </c>
      <c r="M375" t="s">
        <v>642</v>
      </c>
      <c r="Q375">
        <v>0</v>
      </c>
      <c r="R375">
        <v>0</v>
      </c>
      <c r="S375" t="b">
        <v>0</v>
      </c>
      <c r="T375" t="b">
        <f t="shared" si="16"/>
        <v>0</v>
      </c>
      <c r="U375" t="b">
        <f t="shared" si="17"/>
        <v>1</v>
      </c>
      <c r="V375" t="b">
        <f t="shared" si="18"/>
        <v>0</v>
      </c>
      <c r="W375" t="b">
        <f t="shared" si="19"/>
        <v>0</v>
      </c>
      <c r="X375" t="s">
        <v>870</v>
      </c>
    </row>
    <row r="376" spans="1:24" x14ac:dyDescent="0.25">
      <c r="A376">
        <v>1</v>
      </c>
      <c r="B376" t="s">
        <v>24</v>
      </c>
      <c r="C376">
        <v>36862688</v>
      </c>
      <c r="D376" t="s">
        <v>264</v>
      </c>
      <c r="E376" t="b">
        <v>1</v>
      </c>
      <c r="F376" t="b">
        <v>1</v>
      </c>
      <c r="G376" t="s">
        <v>514</v>
      </c>
      <c r="H376" t="b">
        <v>0</v>
      </c>
      <c r="I376" t="b">
        <v>0</v>
      </c>
      <c r="J376" t="s">
        <v>1086</v>
      </c>
      <c r="K376">
        <v>0</v>
      </c>
      <c r="L376" t="s">
        <v>584</v>
      </c>
      <c r="M376" t="s">
        <v>642</v>
      </c>
      <c r="Q376">
        <v>0</v>
      </c>
      <c r="R376">
        <v>0</v>
      </c>
      <c r="S376" t="b">
        <v>0</v>
      </c>
      <c r="T376" t="b">
        <f t="shared" si="16"/>
        <v>0</v>
      </c>
      <c r="U376" t="b">
        <f t="shared" si="17"/>
        <v>1</v>
      </c>
      <c r="V376" t="b">
        <f t="shared" si="18"/>
        <v>0</v>
      </c>
      <c r="W376" t="b">
        <f t="shared" si="19"/>
        <v>0</v>
      </c>
      <c r="X376" t="s">
        <v>844</v>
      </c>
    </row>
    <row r="377" spans="1:24" x14ac:dyDescent="0.25">
      <c r="A377">
        <v>1</v>
      </c>
      <c r="B377" t="s">
        <v>24</v>
      </c>
      <c r="C377">
        <v>36862688</v>
      </c>
      <c r="D377" t="s">
        <v>447</v>
      </c>
      <c r="E377" t="b">
        <v>1</v>
      </c>
      <c r="F377" t="b">
        <v>1</v>
      </c>
      <c r="G377" t="s">
        <v>516</v>
      </c>
      <c r="H377" t="b">
        <v>0</v>
      </c>
      <c r="I377" t="b">
        <v>0</v>
      </c>
      <c r="J377" t="s">
        <v>1086</v>
      </c>
      <c r="K377">
        <v>0</v>
      </c>
      <c r="L377" t="s">
        <v>584</v>
      </c>
      <c r="M377" t="s">
        <v>642</v>
      </c>
      <c r="Q377">
        <v>0</v>
      </c>
      <c r="R377">
        <v>0</v>
      </c>
      <c r="S377" t="b">
        <v>0</v>
      </c>
      <c r="T377" t="b">
        <f t="shared" si="16"/>
        <v>0</v>
      </c>
      <c r="U377" t="b">
        <f t="shared" si="17"/>
        <v>1</v>
      </c>
      <c r="V377" t="b">
        <f t="shared" si="18"/>
        <v>0</v>
      </c>
      <c r="W377" t="b">
        <f t="shared" si="19"/>
        <v>0</v>
      </c>
      <c r="X377" t="s">
        <v>847</v>
      </c>
    </row>
    <row r="378" spans="1:24" x14ac:dyDescent="0.25">
      <c r="A378">
        <v>1</v>
      </c>
      <c r="B378" t="s">
        <v>24</v>
      </c>
      <c r="C378">
        <v>36862688</v>
      </c>
      <c r="D378" t="s">
        <v>263</v>
      </c>
      <c r="E378" t="b">
        <v>1</v>
      </c>
      <c r="F378" t="b">
        <v>1</v>
      </c>
      <c r="G378" t="s">
        <v>514</v>
      </c>
      <c r="H378" t="b">
        <v>0</v>
      </c>
      <c r="I378" t="b">
        <v>0</v>
      </c>
      <c r="J378" t="s">
        <v>1086</v>
      </c>
      <c r="K378">
        <v>0</v>
      </c>
      <c r="L378" t="s">
        <v>584</v>
      </c>
      <c r="M378" t="s">
        <v>642</v>
      </c>
      <c r="Q378">
        <v>0</v>
      </c>
      <c r="R378">
        <v>0</v>
      </c>
      <c r="S378" t="b">
        <v>0</v>
      </c>
      <c r="T378" t="b">
        <f t="shared" si="16"/>
        <v>0</v>
      </c>
      <c r="U378" t="b">
        <f t="shared" si="17"/>
        <v>1</v>
      </c>
      <c r="V378" t="b">
        <f t="shared" si="18"/>
        <v>0</v>
      </c>
      <c r="W378" t="b">
        <f t="shared" si="19"/>
        <v>0</v>
      </c>
      <c r="X378" t="s">
        <v>843</v>
      </c>
    </row>
    <row r="379" spans="1:24" x14ac:dyDescent="0.25">
      <c r="A379">
        <v>1</v>
      </c>
      <c r="B379" t="s">
        <v>24</v>
      </c>
      <c r="C379">
        <v>36862688</v>
      </c>
      <c r="D379" t="s">
        <v>446</v>
      </c>
      <c r="E379" t="b">
        <v>1</v>
      </c>
      <c r="F379" t="b">
        <v>1</v>
      </c>
      <c r="G379" t="s">
        <v>516</v>
      </c>
      <c r="H379" t="b">
        <v>0</v>
      </c>
      <c r="I379" t="b">
        <v>0</v>
      </c>
      <c r="J379" t="s">
        <v>1086</v>
      </c>
      <c r="K379">
        <v>0</v>
      </c>
      <c r="L379" t="s">
        <v>584</v>
      </c>
      <c r="M379" t="s">
        <v>642</v>
      </c>
      <c r="Q379">
        <v>0</v>
      </c>
      <c r="R379">
        <v>0</v>
      </c>
      <c r="S379" t="b">
        <v>0</v>
      </c>
      <c r="T379" t="b">
        <f t="shared" si="16"/>
        <v>0</v>
      </c>
      <c r="U379" t="b">
        <f t="shared" si="17"/>
        <v>1</v>
      </c>
      <c r="V379" t="b">
        <f t="shared" si="18"/>
        <v>0</v>
      </c>
      <c r="W379" t="b">
        <f t="shared" si="19"/>
        <v>0</v>
      </c>
      <c r="X379" t="s">
        <v>872</v>
      </c>
    </row>
    <row r="380" spans="1:24" x14ac:dyDescent="0.25">
      <c r="A380">
        <v>1</v>
      </c>
      <c r="B380" t="s">
        <v>24</v>
      </c>
      <c r="C380">
        <v>36862688</v>
      </c>
      <c r="D380" t="s">
        <v>262</v>
      </c>
      <c r="E380" t="b">
        <v>1</v>
      </c>
      <c r="F380" t="b">
        <v>1</v>
      </c>
      <c r="G380" t="s">
        <v>514</v>
      </c>
      <c r="H380" t="b">
        <v>0</v>
      </c>
      <c r="I380" t="b">
        <v>0</v>
      </c>
      <c r="J380" t="s">
        <v>1086</v>
      </c>
      <c r="K380">
        <v>0</v>
      </c>
      <c r="L380" t="s">
        <v>584</v>
      </c>
      <c r="M380" t="s">
        <v>642</v>
      </c>
      <c r="Q380">
        <v>0</v>
      </c>
      <c r="R380">
        <v>0</v>
      </c>
      <c r="S380" t="b">
        <v>0</v>
      </c>
      <c r="T380" t="b">
        <f t="shared" si="16"/>
        <v>0</v>
      </c>
      <c r="U380" t="b">
        <f t="shared" si="17"/>
        <v>1</v>
      </c>
      <c r="V380" t="b">
        <f t="shared" si="18"/>
        <v>0</v>
      </c>
      <c r="W380" t="b">
        <f t="shared" si="19"/>
        <v>0</v>
      </c>
      <c r="X380" t="s">
        <v>842</v>
      </c>
    </row>
    <row r="381" spans="1:24" x14ac:dyDescent="0.25">
      <c r="A381">
        <v>1</v>
      </c>
      <c r="B381" t="s">
        <v>24</v>
      </c>
      <c r="C381">
        <v>36862688</v>
      </c>
      <c r="D381" t="s">
        <v>261</v>
      </c>
      <c r="E381" t="b">
        <v>1</v>
      </c>
      <c r="F381" t="b">
        <v>1</v>
      </c>
      <c r="G381" t="s">
        <v>514</v>
      </c>
      <c r="H381" t="b">
        <v>0</v>
      </c>
      <c r="I381" t="b">
        <v>0</v>
      </c>
      <c r="J381" t="s">
        <v>1086</v>
      </c>
      <c r="K381">
        <v>0</v>
      </c>
      <c r="L381" t="s">
        <v>584</v>
      </c>
      <c r="M381" t="s">
        <v>642</v>
      </c>
      <c r="Q381">
        <v>0</v>
      </c>
      <c r="R381">
        <v>0</v>
      </c>
      <c r="S381" t="b">
        <v>0</v>
      </c>
      <c r="T381" t="b">
        <f t="shared" si="16"/>
        <v>0</v>
      </c>
      <c r="U381" t="b">
        <f t="shared" si="17"/>
        <v>1</v>
      </c>
      <c r="V381" t="b">
        <f t="shared" si="18"/>
        <v>0</v>
      </c>
      <c r="W381" t="b">
        <f t="shared" si="19"/>
        <v>0</v>
      </c>
      <c r="X381" t="s">
        <v>841</v>
      </c>
    </row>
    <row r="382" spans="1:24" x14ac:dyDescent="0.25">
      <c r="A382">
        <v>1</v>
      </c>
      <c r="B382" t="s">
        <v>24</v>
      </c>
      <c r="C382">
        <v>36862688</v>
      </c>
      <c r="D382" t="s">
        <v>445</v>
      </c>
      <c r="E382" t="b">
        <v>1</v>
      </c>
      <c r="F382" t="b">
        <v>1</v>
      </c>
      <c r="G382" t="s">
        <v>516</v>
      </c>
      <c r="H382" t="b">
        <v>0</v>
      </c>
      <c r="I382" t="b">
        <v>0</v>
      </c>
      <c r="J382" t="s">
        <v>1086</v>
      </c>
      <c r="K382">
        <v>0</v>
      </c>
      <c r="L382" t="s">
        <v>584</v>
      </c>
      <c r="M382" t="s">
        <v>642</v>
      </c>
      <c r="Q382">
        <v>0</v>
      </c>
      <c r="R382">
        <v>0</v>
      </c>
      <c r="S382" t="b">
        <v>0</v>
      </c>
      <c r="T382" t="b">
        <f t="shared" si="16"/>
        <v>0</v>
      </c>
      <c r="U382" t="b">
        <f t="shared" si="17"/>
        <v>1</v>
      </c>
      <c r="V382" t="b">
        <f t="shared" si="18"/>
        <v>0</v>
      </c>
      <c r="W382" t="b">
        <f t="shared" si="19"/>
        <v>0</v>
      </c>
      <c r="X382" t="s">
        <v>1020</v>
      </c>
    </row>
    <row r="383" spans="1:24" x14ac:dyDescent="0.25">
      <c r="A383">
        <v>1</v>
      </c>
      <c r="B383" t="s">
        <v>24</v>
      </c>
      <c r="C383">
        <v>36862688</v>
      </c>
      <c r="D383" t="s">
        <v>260</v>
      </c>
      <c r="E383" t="b">
        <v>1</v>
      </c>
      <c r="F383" t="b">
        <v>1</v>
      </c>
      <c r="G383" t="s">
        <v>514</v>
      </c>
      <c r="H383" t="b">
        <v>0</v>
      </c>
      <c r="I383" t="b">
        <v>0</v>
      </c>
      <c r="J383" t="s">
        <v>1086</v>
      </c>
      <c r="K383">
        <v>0</v>
      </c>
      <c r="L383" t="s">
        <v>584</v>
      </c>
      <c r="M383" t="s">
        <v>642</v>
      </c>
      <c r="Q383">
        <v>0</v>
      </c>
      <c r="R383">
        <v>0</v>
      </c>
      <c r="S383" t="b">
        <v>0</v>
      </c>
      <c r="T383" t="b">
        <f t="shared" si="16"/>
        <v>0</v>
      </c>
      <c r="U383" t="b">
        <f t="shared" si="17"/>
        <v>1</v>
      </c>
      <c r="V383" t="b">
        <f t="shared" si="18"/>
        <v>0</v>
      </c>
      <c r="W383" t="b">
        <f t="shared" si="19"/>
        <v>0</v>
      </c>
      <c r="X383" t="s">
        <v>840</v>
      </c>
    </row>
    <row r="384" spans="1:24" x14ac:dyDescent="0.25">
      <c r="A384">
        <v>1</v>
      </c>
      <c r="B384" t="s">
        <v>24</v>
      </c>
      <c r="C384">
        <v>36862688</v>
      </c>
      <c r="D384" t="s">
        <v>259</v>
      </c>
      <c r="E384" t="b">
        <v>1</v>
      </c>
      <c r="F384" t="b">
        <v>1</v>
      </c>
      <c r="G384" t="s">
        <v>514</v>
      </c>
      <c r="H384" t="b">
        <v>0</v>
      </c>
      <c r="I384" t="b">
        <v>0</v>
      </c>
      <c r="J384" t="s">
        <v>1086</v>
      </c>
      <c r="K384">
        <v>0</v>
      </c>
      <c r="L384" t="s">
        <v>584</v>
      </c>
      <c r="M384" t="s">
        <v>642</v>
      </c>
      <c r="Q384">
        <v>0</v>
      </c>
      <c r="R384">
        <v>0</v>
      </c>
      <c r="S384" t="b">
        <v>0</v>
      </c>
      <c r="T384" t="b">
        <f t="shared" si="16"/>
        <v>0</v>
      </c>
      <c r="U384" t="b">
        <f t="shared" si="17"/>
        <v>1</v>
      </c>
      <c r="V384" t="b">
        <f t="shared" si="18"/>
        <v>0</v>
      </c>
      <c r="W384" t="b">
        <f t="shared" si="19"/>
        <v>0</v>
      </c>
      <c r="X384" t="s">
        <v>839</v>
      </c>
    </row>
    <row r="385" spans="1:24" x14ac:dyDescent="0.25">
      <c r="A385">
        <v>1</v>
      </c>
      <c r="B385" t="s">
        <v>24</v>
      </c>
      <c r="C385">
        <v>36862688</v>
      </c>
      <c r="D385" t="s">
        <v>416</v>
      </c>
      <c r="E385" t="b">
        <v>1</v>
      </c>
      <c r="F385" t="b">
        <v>1</v>
      </c>
      <c r="G385" t="s">
        <v>514</v>
      </c>
      <c r="H385" t="b">
        <v>0</v>
      </c>
      <c r="I385" t="b">
        <v>0</v>
      </c>
      <c r="J385" t="s">
        <v>1086</v>
      </c>
      <c r="K385">
        <v>0</v>
      </c>
      <c r="L385" t="s">
        <v>584</v>
      </c>
      <c r="M385" t="s">
        <v>642</v>
      </c>
      <c r="Q385">
        <v>0</v>
      </c>
      <c r="R385">
        <v>0</v>
      </c>
      <c r="S385" t="b">
        <v>0</v>
      </c>
      <c r="T385" t="b">
        <f t="shared" si="16"/>
        <v>0</v>
      </c>
      <c r="U385" t="b">
        <f t="shared" si="17"/>
        <v>1</v>
      </c>
      <c r="V385" t="b">
        <f t="shared" si="18"/>
        <v>0</v>
      </c>
      <c r="W385" t="b">
        <f t="shared" si="19"/>
        <v>0</v>
      </c>
      <c r="X385" t="s">
        <v>992</v>
      </c>
    </row>
    <row r="386" spans="1:24" x14ac:dyDescent="0.25">
      <c r="A386">
        <v>1</v>
      </c>
      <c r="B386" t="s">
        <v>24</v>
      </c>
      <c r="C386">
        <v>36862688</v>
      </c>
      <c r="D386" t="s">
        <v>415</v>
      </c>
      <c r="E386" t="b">
        <v>1</v>
      </c>
      <c r="F386" t="b">
        <v>1</v>
      </c>
      <c r="G386" t="s">
        <v>514</v>
      </c>
      <c r="H386" t="b">
        <v>0</v>
      </c>
      <c r="I386" t="b">
        <v>0</v>
      </c>
      <c r="J386" t="s">
        <v>1086</v>
      </c>
      <c r="K386">
        <v>0</v>
      </c>
      <c r="L386" t="s">
        <v>584</v>
      </c>
      <c r="M386" t="s">
        <v>642</v>
      </c>
      <c r="Q386">
        <v>0</v>
      </c>
      <c r="R386">
        <v>0</v>
      </c>
      <c r="S386" t="b">
        <v>0</v>
      </c>
      <c r="T386" t="b">
        <f t="shared" si="16"/>
        <v>0</v>
      </c>
      <c r="U386" t="b">
        <f t="shared" si="17"/>
        <v>1</v>
      </c>
      <c r="V386" t="b">
        <f t="shared" si="18"/>
        <v>0</v>
      </c>
      <c r="W386" t="b">
        <f t="shared" si="19"/>
        <v>0</v>
      </c>
      <c r="X386" t="s">
        <v>991</v>
      </c>
    </row>
    <row r="387" spans="1:24" x14ac:dyDescent="0.25">
      <c r="A387">
        <v>1</v>
      </c>
      <c r="B387" t="s">
        <v>24</v>
      </c>
      <c r="C387">
        <v>36862688</v>
      </c>
      <c r="D387" t="s">
        <v>414</v>
      </c>
      <c r="E387" t="b">
        <v>1</v>
      </c>
      <c r="F387" t="b">
        <v>1</v>
      </c>
      <c r="G387" t="s">
        <v>514</v>
      </c>
      <c r="H387" t="b">
        <v>0</v>
      </c>
      <c r="I387" t="b">
        <v>0</v>
      </c>
      <c r="J387" t="s">
        <v>1086</v>
      </c>
      <c r="K387">
        <v>0</v>
      </c>
      <c r="L387" t="s">
        <v>584</v>
      </c>
      <c r="M387" t="s">
        <v>642</v>
      </c>
      <c r="Q387">
        <v>0</v>
      </c>
      <c r="R387">
        <v>0</v>
      </c>
      <c r="S387" t="b">
        <v>0</v>
      </c>
      <c r="T387" t="b">
        <f t="shared" si="16"/>
        <v>0</v>
      </c>
      <c r="U387" t="b">
        <f t="shared" si="17"/>
        <v>1</v>
      </c>
      <c r="V387" t="b">
        <f t="shared" si="18"/>
        <v>0</v>
      </c>
      <c r="W387" t="b">
        <f t="shared" si="19"/>
        <v>0</v>
      </c>
      <c r="X387" t="s">
        <v>847</v>
      </c>
    </row>
    <row r="388" spans="1:24" x14ac:dyDescent="0.25">
      <c r="A388">
        <v>1</v>
      </c>
      <c r="B388" t="s">
        <v>24</v>
      </c>
      <c r="C388">
        <v>36862688</v>
      </c>
      <c r="D388" t="s">
        <v>413</v>
      </c>
      <c r="E388" t="b">
        <v>1</v>
      </c>
      <c r="F388" t="b">
        <v>1</v>
      </c>
      <c r="G388" t="s">
        <v>514</v>
      </c>
      <c r="H388" t="b">
        <v>0</v>
      </c>
      <c r="I388" t="b">
        <v>0</v>
      </c>
      <c r="J388" t="s">
        <v>1086</v>
      </c>
      <c r="K388">
        <v>0</v>
      </c>
      <c r="L388" t="s">
        <v>584</v>
      </c>
      <c r="M388" t="s">
        <v>642</v>
      </c>
      <c r="Q388">
        <v>0</v>
      </c>
      <c r="R388">
        <v>0</v>
      </c>
      <c r="S388" t="b">
        <v>0</v>
      </c>
      <c r="T388" t="b">
        <f t="shared" si="16"/>
        <v>0</v>
      </c>
      <c r="U388" t="b">
        <f t="shared" si="17"/>
        <v>1</v>
      </c>
      <c r="V388" t="b">
        <f t="shared" si="18"/>
        <v>0</v>
      </c>
      <c r="W388" t="b">
        <f t="shared" si="19"/>
        <v>0</v>
      </c>
      <c r="X388" t="s">
        <v>990</v>
      </c>
    </row>
    <row r="389" spans="1:24" x14ac:dyDescent="0.25">
      <c r="A389">
        <v>1</v>
      </c>
      <c r="B389" t="s">
        <v>24</v>
      </c>
      <c r="C389">
        <v>36862688</v>
      </c>
      <c r="D389" t="s">
        <v>412</v>
      </c>
      <c r="E389" t="b">
        <v>1</v>
      </c>
      <c r="F389" t="b">
        <v>1</v>
      </c>
      <c r="G389" t="s">
        <v>514</v>
      </c>
      <c r="H389" t="b">
        <v>0</v>
      </c>
      <c r="I389" t="b">
        <v>0</v>
      </c>
      <c r="J389" t="s">
        <v>1086</v>
      </c>
      <c r="K389">
        <v>0</v>
      </c>
      <c r="L389" t="s">
        <v>584</v>
      </c>
      <c r="M389" t="s">
        <v>642</v>
      </c>
      <c r="Q389">
        <v>0</v>
      </c>
      <c r="R389">
        <v>0</v>
      </c>
      <c r="S389" t="b">
        <v>0</v>
      </c>
      <c r="T389" t="b">
        <f t="shared" si="16"/>
        <v>0</v>
      </c>
      <c r="U389" t="b">
        <f t="shared" si="17"/>
        <v>1</v>
      </c>
      <c r="V389" t="b">
        <f t="shared" si="18"/>
        <v>0</v>
      </c>
      <c r="W389" t="b">
        <f t="shared" si="19"/>
        <v>0</v>
      </c>
      <c r="X389" t="s">
        <v>989</v>
      </c>
    </row>
    <row r="390" spans="1:24" x14ac:dyDescent="0.25">
      <c r="A390">
        <v>1</v>
      </c>
      <c r="B390" t="s">
        <v>24</v>
      </c>
      <c r="C390">
        <v>36862688</v>
      </c>
      <c r="D390" t="s">
        <v>411</v>
      </c>
      <c r="E390" t="b">
        <v>1</v>
      </c>
      <c r="F390" t="b">
        <v>1</v>
      </c>
      <c r="G390" t="s">
        <v>514</v>
      </c>
      <c r="H390" t="b">
        <v>0</v>
      </c>
      <c r="I390" t="b">
        <v>0</v>
      </c>
      <c r="J390" t="s">
        <v>1086</v>
      </c>
      <c r="K390">
        <v>0</v>
      </c>
      <c r="L390" t="s">
        <v>584</v>
      </c>
      <c r="M390" t="s">
        <v>642</v>
      </c>
      <c r="Q390">
        <v>0</v>
      </c>
      <c r="R390">
        <v>0</v>
      </c>
      <c r="S390" t="b">
        <v>0</v>
      </c>
      <c r="T390" t="b">
        <f t="shared" si="16"/>
        <v>0</v>
      </c>
      <c r="U390" t="b">
        <f t="shared" si="17"/>
        <v>1</v>
      </c>
      <c r="V390" t="b">
        <f t="shared" si="18"/>
        <v>0</v>
      </c>
      <c r="W390" t="b">
        <f t="shared" si="19"/>
        <v>0</v>
      </c>
      <c r="X390" t="s">
        <v>988</v>
      </c>
    </row>
    <row r="391" spans="1:24" x14ac:dyDescent="0.25">
      <c r="A391">
        <v>1</v>
      </c>
      <c r="B391" t="s">
        <v>24</v>
      </c>
      <c r="C391">
        <v>36862688</v>
      </c>
      <c r="D391" t="s">
        <v>410</v>
      </c>
      <c r="E391" t="b">
        <v>1</v>
      </c>
      <c r="F391" t="b">
        <v>1</v>
      </c>
      <c r="G391" t="s">
        <v>514</v>
      </c>
      <c r="H391" t="b">
        <v>0</v>
      </c>
      <c r="I391" t="b">
        <v>0</v>
      </c>
      <c r="J391" t="s">
        <v>1086</v>
      </c>
      <c r="K391">
        <v>0</v>
      </c>
      <c r="L391" t="s">
        <v>584</v>
      </c>
      <c r="M391" t="s">
        <v>642</v>
      </c>
      <c r="Q391">
        <v>0</v>
      </c>
      <c r="R391">
        <v>0</v>
      </c>
      <c r="S391" t="b">
        <v>0</v>
      </c>
      <c r="T391" t="b">
        <f t="shared" si="16"/>
        <v>0</v>
      </c>
      <c r="U391" t="b">
        <f t="shared" si="17"/>
        <v>1</v>
      </c>
      <c r="V391" t="b">
        <f t="shared" si="18"/>
        <v>0</v>
      </c>
      <c r="W391" t="b">
        <f t="shared" si="19"/>
        <v>0</v>
      </c>
      <c r="X391" t="s">
        <v>987</v>
      </c>
    </row>
    <row r="392" spans="1:24" x14ac:dyDescent="0.25">
      <c r="A392">
        <v>1</v>
      </c>
      <c r="B392" t="s">
        <v>24</v>
      </c>
      <c r="C392">
        <v>36862688</v>
      </c>
      <c r="D392" t="s">
        <v>283</v>
      </c>
      <c r="E392" t="b">
        <v>1</v>
      </c>
      <c r="F392" t="b">
        <v>1</v>
      </c>
      <c r="G392" t="s">
        <v>514</v>
      </c>
      <c r="H392" t="b">
        <v>0</v>
      </c>
      <c r="I392" t="b">
        <v>0</v>
      </c>
      <c r="J392" t="s">
        <v>1086</v>
      </c>
      <c r="K392">
        <v>0</v>
      </c>
      <c r="L392" t="s">
        <v>584</v>
      </c>
      <c r="M392" t="s">
        <v>642</v>
      </c>
      <c r="Q392">
        <v>0</v>
      </c>
      <c r="R392">
        <v>0</v>
      </c>
      <c r="S392" t="b">
        <v>0</v>
      </c>
      <c r="T392" t="b">
        <f t="shared" si="16"/>
        <v>0</v>
      </c>
      <c r="U392" t="b">
        <f t="shared" si="17"/>
        <v>1</v>
      </c>
      <c r="V392" t="b">
        <f t="shared" si="18"/>
        <v>0</v>
      </c>
      <c r="W392" t="b">
        <f t="shared" si="19"/>
        <v>0</v>
      </c>
      <c r="X392" t="s">
        <v>862</v>
      </c>
    </row>
    <row r="393" spans="1:24" x14ac:dyDescent="0.25">
      <c r="A393">
        <v>1</v>
      </c>
      <c r="B393" t="s">
        <v>24</v>
      </c>
      <c r="C393">
        <v>36862688</v>
      </c>
      <c r="D393" t="s">
        <v>282</v>
      </c>
      <c r="E393" t="b">
        <v>1</v>
      </c>
      <c r="F393" t="b">
        <v>1</v>
      </c>
      <c r="G393" t="s">
        <v>514</v>
      </c>
      <c r="H393" t="b">
        <v>0</v>
      </c>
      <c r="I393" t="b">
        <v>0</v>
      </c>
      <c r="J393" t="s">
        <v>1086</v>
      </c>
      <c r="K393">
        <v>0</v>
      </c>
      <c r="L393" t="s">
        <v>584</v>
      </c>
      <c r="M393" t="s">
        <v>642</v>
      </c>
      <c r="Q393">
        <v>0</v>
      </c>
      <c r="R393">
        <v>0</v>
      </c>
      <c r="S393" t="b">
        <v>0</v>
      </c>
      <c r="T393" t="b">
        <f t="shared" si="16"/>
        <v>0</v>
      </c>
      <c r="U393" t="b">
        <f t="shared" si="17"/>
        <v>1</v>
      </c>
      <c r="V393" t="b">
        <f t="shared" si="18"/>
        <v>0</v>
      </c>
      <c r="W393" t="b">
        <f t="shared" si="19"/>
        <v>0</v>
      </c>
      <c r="X393" t="s">
        <v>861</v>
      </c>
    </row>
    <row r="394" spans="1:24" x14ac:dyDescent="0.25">
      <c r="A394">
        <v>1</v>
      </c>
      <c r="B394" t="s">
        <v>24</v>
      </c>
      <c r="C394">
        <v>36862688</v>
      </c>
      <c r="D394" t="s">
        <v>444</v>
      </c>
      <c r="E394" t="b">
        <v>1</v>
      </c>
      <c r="F394" t="b">
        <v>1</v>
      </c>
      <c r="G394" t="s">
        <v>516</v>
      </c>
      <c r="H394" t="b">
        <v>0</v>
      </c>
      <c r="I394" t="b">
        <v>0</v>
      </c>
      <c r="J394" t="s">
        <v>1086</v>
      </c>
      <c r="K394">
        <v>0</v>
      </c>
      <c r="L394" t="s">
        <v>584</v>
      </c>
      <c r="M394" t="s">
        <v>642</v>
      </c>
      <c r="Q394">
        <v>0</v>
      </c>
      <c r="R394">
        <v>0</v>
      </c>
      <c r="S394" t="b">
        <v>0</v>
      </c>
      <c r="T394" t="b">
        <f t="shared" si="16"/>
        <v>0</v>
      </c>
      <c r="U394" t="b">
        <f t="shared" si="17"/>
        <v>1</v>
      </c>
      <c r="V394" t="b">
        <f t="shared" si="18"/>
        <v>0</v>
      </c>
      <c r="W394" t="b">
        <f t="shared" si="19"/>
        <v>0</v>
      </c>
      <c r="X394" t="s">
        <v>1019</v>
      </c>
    </row>
    <row r="395" spans="1:24" x14ac:dyDescent="0.25">
      <c r="A395">
        <v>1</v>
      </c>
      <c r="B395" t="s">
        <v>24</v>
      </c>
      <c r="C395">
        <v>36862688</v>
      </c>
      <c r="D395" t="s">
        <v>281</v>
      </c>
      <c r="E395" t="b">
        <v>1</v>
      </c>
      <c r="F395" t="b">
        <v>1</v>
      </c>
      <c r="G395" t="s">
        <v>514</v>
      </c>
      <c r="H395" t="b">
        <v>0</v>
      </c>
      <c r="I395" t="b">
        <v>0</v>
      </c>
      <c r="J395" t="s">
        <v>1086</v>
      </c>
      <c r="K395">
        <v>0</v>
      </c>
      <c r="L395" t="s">
        <v>584</v>
      </c>
      <c r="M395" t="s">
        <v>642</v>
      </c>
      <c r="Q395">
        <v>0</v>
      </c>
      <c r="R395">
        <v>0</v>
      </c>
      <c r="S395" t="b">
        <v>0</v>
      </c>
      <c r="T395" t="b">
        <f t="shared" si="16"/>
        <v>0</v>
      </c>
      <c r="U395" t="b">
        <f t="shared" si="17"/>
        <v>1</v>
      </c>
      <c r="V395" t="b">
        <f t="shared" si="18"/>
        <v>0</v>
      </c>
      <c r="W395" t="b">
        <f t="shared" si="19"/>
        <v>0</v>
      </c>
      <c r="X395" t="s">
        <v>860</v>
      </c>
    </row>
    <row r="396" spans="1:24" x14ac:dyDescent="0.25">
      <c r="A396">
        <v>1</v>
      </c>
      <c r="B396" t="s">
        <v>24</v>
      </c>
      <c r="C396">
        <v>36862688</v>
      </c>
      <c r="D396" t="s">
        <v>280</v>
      </c>
      <c r="E396" t="b">
        <v>1</v>
      </c>
      <c r="F396" t="b">
        <v>1</v>
      </c>
      <c r="G396" t="s">
        <v>514</v>
      </c>
      <c r="H396" t="b">
        <v>0</v>
      </c>
      <c r="I396" t="b">
        <v>0</v>
      </c>
      <c r="J396" t="s">
        <v>1086</v>
      </c>
      <c r="K396">
        <v>0</v>
      </c>
      <c r="L396" t="s">
        <v>584</v>
      </c>
      <c r="M396" t="s">
        <v>642</v>
      </c>
      <c r="Q396">
        <v>0</v>
      </c>
      <c r="R396">
        <v>0</v>
      </c>
      <c r="S396" t="b">
        <v>0</v>
      </c>
      <c r="T396" t="b">
        <f t="shared" si="16"/>
        <v>0</v>
      </c>
      <c r="U396" t="b">
        <f t="shared" si="17"/>
        <v>1</v>
      </c>
      <c r="V396" t="b">
        <f t="shared" si="18"/>
        <v>0</v>
      </c>
      <c r="W396" t="b">
        <f t="shared" si="19"/>
        <v>0</v>
      </c>
      <c r="X396" t="s">
        <v>859</v>
      </c>
    </row>
    <row r="397" spans="1:24" x14ac:dyDescent="0.25">
      <c r="A397">
        <v>1</v>
      </c>
      <c r="B397" t="s">
        <v>24</v>
      </c>
      <c r="C397">
        <v>36862688</v>
      </c>
      <c r="D397" t="s">
        <v>279</v>
      </c>
      <c r="E397" t="b">
        <v>1</v>
      </c>
      <c r="F397" t="b">
        <v>1</v>
      </c>
      <c r="G397" t="s">
        <v>514</v>
      </c>
      <c r="H397" t="b">
        <v>0</v>
      </c>
      <c r="I397" t="b">
        <v>0</v>
      </c>
      <c r="J397" t="s">
        <v>1086</v>
      </c>
      <c r="K397">
        <v>0</v>
      </c>
      <c r="L397" t="s">
        <v>584</v>
      </c>
      <c r="M397" t="s">
        <v>642</v>
      </c>
      <c r="Q397">
        <v>0</v>
      </c>
      <c r="R397">
        <v>0</v>
      </c>
      <c r="S397" t="b">
        <v>0</v>
      </c>
      <c r="T397" t="b">
        <f t="shared" si="16"/>
        <v>0</v>
      </c>
      <c r="U397" t="b">
        <f t="shared" si="17"/>
        <v>1</v>
      </c>
      <c r="V397" t="b">
        <f t="shared" si="18"/>
        <v>0</v>
      </c>
      <c r="W397" t="b">
        <f t="shared" si="19"/>
        <v>0</v>
      </c>
      <c r="X397" t="s">
        <v>858</v>
      </c>
    </row>
    <row r="398" spans="1:24" x14ac:dyDescent="0.25">
      <c r="A398">
        <v>1</v>
      </c>
      <c r="B398" t="s">
        <v>24</v>
      </c>
      <c r="C398">
        <v>36862688</v>
      </c>
      <c r="D398" t="s">
        <v>443</v>
      </c>
      <c r="E398" t="b">
        <v>1</v>
      </c>
      <c r="F398" t="b">
        <v>1</v>
      </c>
      <c r="G398" t="s">
        <v>516</v>
      </c>
      <c r="H398" t="b">
        <v>0</v>
      </c>
      <c r="I398" t="b">
        <v>0</v>
      </c>
      <c r="J398" t="s">
        <v>1086</v>
      </c>
      <c r="K398">
        <v>0</v>
      </c>
      <c r="L398" t="s">
        <v>584</v>
      </c>
      <c r="M398" t="s">
        <v>642</v>
      </c>
      <c r="Q398">
        <v>0</v>
      </c>
      <c r="R398">
        <v>0</v>
      </c>
      <c r="S398" t="b">
        <v>0</v>
      </c>
      <c r="T398" t="b">
        <f t="shared" si="16"/>
        <v>0</v>
      </c>
      <c r="U398" t="b">
        <f t="shared" si="17"/>
        <v>1</v>
      </c>
      <c r="V398" t="b">
        <f t="shared" si="18"/>
        <v>0</v>
      </c>
      <c r="W398" t="b">
        <f t="shared" si="19"/>
        <v>0</v>
      </c>
      <c r="X398" t="s">
        <v>1018</v>
      </c>
    </row>
    <row r="399" spans="1:24" x14ac:dyDescent="0.25">
      <c r="A399">
        <v>1</v>
      </c>
      <c r="B399" t="s">
        <v>24</v>
      </c>
      <c r="C399">
        <v>36862688</v>
      </c>
      <c r="D399" t="s">
        <v>278</v>
      </c>
      <c r="E399" t="b">
        <v>1</v>
      </c>
      <c r="F399" t="b">
        <v>1</v>
      </c>
      <c r="G399" t="s">
        <v>514</v>
      </c>
      <c r="H399" t="b">
        <v>0</v>
      </c>
      <c r="I399" t="b">
        <v>0</v>
      </c>
      <c r="J399" t="s">
        <v>1086</v>
      </c>
      <c r="K399">
        <v>0</v>
      </c>
      <c r="L399" t="s">
        <v>584</v>
      </c>
      <c r="M399" t="s">
        <v>642</v>
      </c>
      <c r="Q399">
        <v>0</v>
      </c>
      <c r="R399">
        <v>0</v>
      </c>
      <c r="S399" t="b">
        <v>0</v>
      </c>
      <c r="T399" t="b">
        <f t="shared" si="16"/>
        <v>0</v>
      </c>
      <c r="U399" t="b">
        <f t="shared" si="17"/>
        <v>1</v>
      </c>
      <c r="V399" t="b">
        <f t="shared" si="18"/>
        <v>0</v>
      </c>
      <c r="W399" t="b">
        <f t="shared" si="19"/>
        <v>0</v>
      </c>
      <c r="X399" t="s">
        <v>857</v>
      </c>
    </row>
    <row r="400" spans="1:24" x14ac:dyDescent="0.25">
      <c r="A400">
        <v>1</v>
      </c>
      <c r="B400" t="s">
        <v>24</v>
      </c>
      <c r="C400">
        <v>36862688</v>
      </c>
      <c r="D400" t="s">
        <v>442</v>
      </c>
      <c r="E400" t="b">
        <v>1</v>
      </c>
      <c r="F400" t="b">
        <v>1</v>
      </c>
      <c r="G400" t="s">
        <v>516</v>
      </c>
      <c r="H400" t="b">
        <v>0</v>
      </c>
      <c r="I400" t="b">
        <v>0</v>
      </c>
      <c r="J400" t="s">
        <v>1086</v>
      </c>
      <c r="K400">
        <v>0</v>
      </c>
      <c r="L400" t="s">
        <v>584</v>
      </c>
      <c r="M400" t="s">
        <v>642</v>
      </c>
      <c r="Q400">
        <v>0</v>
      </c>
      <c r="R400">
        <v>0</v>
      </c>
      <c r="S400" t="b">
        <v>0</v>
      </c>
      <c r="T400" t="b">
        <f t="shared" si="16"/>
        <v>0</v>
      </c>
      <c r="U400" t="b">
        <f t="shared" si="17"/>
        <v>1</v>
      </c>
      <c r="V400" t="b">
        <f t="shared" si="18"/>
        <v>0</v>
      </c>
      <c r="W400" t="b">
        <f t="shared" si="19"/>
        <v>0</v>
      </c>
      <c r="X400" t="s">
        <v>1017</v>
      </c>
    </row>
    <row r="401" spans="1:24" x14ac:dyDescent="0.25">
      <c r="A401">
        <v>1</v>
      </c>
      <c r="B401" t="s">
        <v>24</v>
      </c>
      <c r="C401">
        <v>36862688</v>
      </c>
      <c r="D401" t="s">
        <v>277</v>
      </c>
      <c r="E401" t="b">
        <v>1</v>
      </c>
      <c r="F401" t="b">
        <v>1</v>
      </c>
      <c r="G401" t="s">
        <v>514</v>
      </c>
      <c r="H401" t="b">
        <v>0</v>
      </c>
      <c r="I401" t="b">
        <v>0</v>
      </c>
      <c r="J401" t="s">
        <v>1086</v>
      </c>
      <c r="K401">
        <v>0</v>
      </c>
      <c r="L401" t="s">
        <v>584</v>
      </c>
      <c r="M401" t="s">
        <v>642</v>
      </c>
      <c r="Q401">
        <v>0</v>
      </c>
      <c r="R401">
        <v>0</v>
      </c>
      <c r="S401" t="b">
        <v>0</v>
      </c>
      <c r="T401" t="b">
        <f t="shared" si="16"/>
        <v>0</v>
      </c>
      <c r="U401" t="b">
        <f t="shared" si="17"/>
        <v>1</v>
      </c>
      <c r="V401" t="b">
        <f t="shared" si="18"/>
        <v>0</v>
      </c>
      <c r="W401" t="b">
        <f t="shared" si="19"/>
        <v>0</v>
      </c>
      <c r="X401" t="s">
        <v>856</v>
      </c>
    </row>
    <row r="402" spans="1:24" x14ac:dyDescent="0.25">
      <c r="A402">
        <v>1</v>
      </c>
      <c r="B402" t="s">
        <v>24</v>
      </c>
      <c r="C402">
        <v>36862688</v>
      </c>
      <c r="D402" t="s">
        <v>441</v>
      </c>
      <c r="E402" t="b">
        <v>1</v>
      </c>
      <c r="F402" t="b">
        <v>1</v>
      </c>
      <c r="G402" t="s">
        <v>516</v>
      </c>
      <c r="H402" t="b">
        <v>0</v>
      </c>
      <c r="I402" t="b">
        <v>0</v>
      </c>
      <c r="J402" t="s">
        <v>1086</v>
      </c>
      <c r="K402">
        <v>0</v>
      </c>
      <c r="L402" t="s">
        <v>584</v>
      </c>
      <c r="M402" t="s">
        <v>642</v>
      </c>
      <c r="Q402">
        <v>0</v>
      </c>
      <c r="R402">
        <v>0</v>
      </c>
      <c r="S402" t="b">
        <v>0</v>
      </c>
      <c r="T402" t="b">
        <f t="shared" si="16"/>
        <v>0</v>
      </c>
      <c r="U402" t="b">
        <f t="shared" si="17"/>
        <v>1</v>
      </c>
      <c r="V402" t="b">
        <f t="shared" si="18"/>
        <v>0</v>
      </c>
      <c r="W402" t="b">
        <f t="shared" si="19"/>
        <v>0</v>
      </c>
      <c r="X402" t="s">
        <v>891</v>
      </c>
    </row>
    <row r="403" spans="1:24" x14ac:dyDescent="0.25">
      <c r="A403">
        <v>1</v>
      </c>
      <c r="B403" t="s">
        <v>24</v>
      </c>
      <c r="C403">
        <v>36862688</v>
      </c>
      <c r="D403" t="s">
        <v>276</v>
      </c>
      <c r="E403" t="b">
        <v>1</v>
      </c>
      <c r="F403" t="b">
        <v>1</v>
      </c>
      <c r="G403" t="s">
        <v>514</v>
      </c>
      <c r="H403" t="b">
        <v>0</v>
      </c>
      <c r="I403" t="b">
        <v>0</v>
      </c>
      <c r="J403" t="s">
        <v>1086</v>
      </c>
      <c r="K403">
        <v>0</v>
      </c>
      <c r="L403" t="s">
        <v>584</v>
      </c>
      <c r="M403" t="s">
        <v>642</v>
      </c>
      <c r="Q403">
        <v>0</v>
      </c>
      <c r="R403">
        <v>0</v>
      </c>
      <c r="S403" t="b">
        <v>0</v>
      </c>
      <c r="T403" t="b">
        <f t="shared" si="16"/>
        <v>0</v>
      </c>
      <c r="U403" t="b">
        <f t="shared" si="17"/>
        <v>1</v>
      </c>
      <c r="V403" t="b">
        <f t="shared" si="18"/>
        <v>0</v>
      </c>
      <c r="W403" t="b">
        <f t="shared" si="19"/>
        <v>0</v>
      </c>
      <c r="X403" t="s">
        <v>855</v>
      </c>
    </row>
    <row r="404" spans="1:24" x14ac:dyDescent="0.25">
      <c r="A404">
        <v>1</v>
      </c>
      <c r="B404" t="s">
        <v>24</v>
      </c>
      <c r="C404">
        <v>36862688</v>
      </c>
      <c r="D404" t="s">
        <v>315</v>
      </c>
      <c r="E404" t="b">
        <v>1</v>
      </c>
      <c r="F404" t="b">
        <v>1</v>
      </c>
      <c r="G404" t="s">
        <v>516</v>
      </c>
      <c r="H404" t="b">
        <v>0</v>
      </c>
      <c r="I404" t="b">
        <v>0</v>
      </c>
      <c r="J404" t="s">
        <v>1086</v>
      </c>
      <c r="K404">
        <v>0</v>
      </c>
      <c r="L404" t="s">
        <v>584</v>
      </c>
      <c r="M404" t="s">
        <v>642</v>
      </c>
      <c r="Q404">
        <v>0</v>
      </c>
      <c r="R404">
        <v>0</v>
      </c>
      <c r="S404" t="b">
        <v>0</v>
      </c>
      <c r="T404" t="b">
        <f t="shared" si="16"/>
        <v>0</v>
      </c>
      <c r="U404" t="b">
        <f t="shared" si="17"/>
        <v>1</v>
      </c>
      <c r="V404" t="b">
        <f t="shared" si="18"/>
        <v>0</v>
      </c>
      <c r="W404" t="b">
        <f t="shared" si="19"/>
        <v>0</v>
      </c>
      <c r="X404" t="s">
        <v>893</v>
      </c>
    </row>
    <row r="405" spans="1:24" x14ac:dyDescent="0.25">
      <c r="A405">
        <v>1</v>
      </c>
      <c r="B405" t="s">
        <v>24</v>
      </c>
      <c r="C405">
        <v>36862688</v>
      </c>
      <c r="D405" t="s">
        <v>275</v>
      </c>
      <c r="E405" t="b">
        <v>1</v>
      </c>
      <c r="F405" t="b">
        <v>1</v>
      </c>
      <c r="G405" t="s">
        <v>514</v>
      </c>
      <c r="H405" t="b">
        <v>0</v>
      </c>
      <c r="I405" t="b">
        <v>0</v>
      </c>
      <c r="J405" t="s">
        <v>1086</v>
      </c>
      <c r="K405">
        <v>0</v>
      </c>
      <c r="L405" t="s">
        <v>584</v>
      </c>
      <c r="M405" t="s">
        <v>642</v>
      </c>
      <c r="Q405">
        <v>0</v>
      </c>
      <c r="R405">
        <v>0</v>
      </c>
      <c r="S405" t="b">
        <v>0</v>
      </c>
      <c r="T405" t="b">
        <f t="shared" si="16"/>
        <v>0</v>
      </c>
      <c r="U405" t="b">
        <f t="shared" si="17"/>
        <v>1</v>
      </c>
      <c r="V405" t="b">
        <f t="shared" si="18"/>
        <v>0</v>
      </c>
      <c r="W405" t="b">
        <f t="shared" si="19"/>
        <v>0</v>
      </c>
      <c r="X405" t="s">
        <v>854</v>
      </c>
    </row>
    <row r="406" spans="1:24" x14ac:dyDescent="0.25">
      <c r="A406">
        <v>1</v>
      </c>
      <c r="B406" t="s">
        <v>24</v>
      </c>
      <c r="C406">
        <v>36862688</v>
      </c>
      <c r="D406" t="s">
        <v>314</v>
      </c>
      <c r="E406" t="b">
        <v>1</v>
      </c>
      <c r="F406" t="b">
        <v>1</v>
      </c>
      <c r="G406" t="s">
        <v>516</v>
      </c>
      <c r="H406" t="b">
        <v>0</v>
      </c>
      <c r="I406" t="b">
        <v>0</v>
      </c>
      <c r="J406" t="s">
        <v>1086</v>
      </c>
      <c r="K406">
        <v>0</v>
      </c>
      <c r="L406" t="s">
        <v>584</v>
      </c>
      <c r="M406" t="s">
        <v>642</v>
      </c>
      <c r="Q406">
        <v>0</v>
      </c>
      <c r="R406">
        <v>0</v>
      </c>
      <c r="S406" t="b">
        <v>0</v>
      </c>
      <c r="T406" t="b">
        <f t="shared" ref="T406:T445" si="20">AND(S406,NOT(E406))</f>
        <v>0</v>
      </c>
      <c r="U406" t="b">
        <f t="shared" ref="U406:U445" si="21">AND(E406,NOT(S406))</f>
        <v>1</v>
      </c>
      <c r="V406" t="b">
        <f t="shared" ref="V406:V445" si="22">AND(S406,E406)</f>
        <v>0</v>
      </c>
      <c r="W406" t="b">
        <f t="shared" ref="W406:W445" si="23">AND(NOT(S406),NOT(E406))</f>
        <v>0</v>
      </c>
      <c r="X406" t="s">
        <v>892</v>
      </c>
    </row>
    <row r="407" spans="1:24" x14ac:dyDescent="0.25">
      <c r="A407">
        <v>1</v>
      </c>
      <c r="B407" t="s">
        <v>24</v>
      </c>
      <c r="C407">
        <v>36862688</v>
      </c>
      <c r="D407" t="s">
        <v>432</v>
      </c>
      <c r="E407" t="b">
        <v>1</v>
      </c>
      <c r="F407" t="b">
        <v>1</v>
      </c>
      <c r="G407" t="s">
        <v>514</v>
      </c>
      <c r="H407" t="b">
        <v>0</v>
      </c>
      <c r="I407" t="b">
        <v>0</v>
      </c>
      <c r="J407" t="s">
        <v>1086</v>
      </c>
      <c r="K407">
        <v>0</v>
      </c>
      <c r="L407" t="s">
        <v>584</v>
      </c>
      <c r="M407" t="s">
        <v>642</v>
      </c>
      <c r="Q407">
        <v>0</v>
      </c>
      <c r="R407">
        <v>0</v>
      </c>
      <c r="S407" t="b">
        <v>0</v>
      </c>
      <c r="T407" t="b">
        <f t="shared" si="20"/>
        <v>0</v>
      </c>
      <c r="U407" t="b">
        <f t="shared" si="21"/>
        <v>1</v>
      </c>
      <c r="V407" t="b">
        <f t="shared" si="22"/>
        <v>0</v>
      </c>
      <c r="W407" t="b">
        <f t="shared" si="23"/>
        <v>0</v>
      </c>
      <c r="X407" t="s">
        <v>1007</v>
      </c>
    </row>
    <row r="408" spans="1:24" x14ac:dyDescent="0.25">
      <c r="A408">
        <v>1</v>
      </c>
      <c r="B408" t="s">
        <v>24</v>
      </c>
      <c r="C408">
        <v>36862688</v>
      </c>
      <c r="D408" t="s">
        <v>313</v>
      </c>
      <c r="E408" t="b">
        <v>1</v>
      </c>
      <c r="F408" t="b">
        <v>1</v>
      </c>
      <c r="G408" t="s">
        <v>516</v>
      </c>
      <c r="H408" t="b">
        <v>0</v>
      </c>
      <c r="I408" t="b">
        <v>0</v>
      </c>
      <c r="J408" t="s">
        <v>1086</v>
      </c>
      <c r="K408">
        <v>0</v>
      </c>
      <c r="L408" t="s">
        <v>584</v>
      </c>
      <c r="M408" t="s">
        <v>642</v>
      </c>
      <c r="Q408">
        <v>0</v>
      </c>
      <c r="R408">
        <v>0</v>
      </c>
      <c r="S408" t="b">
        <v>0</v>
      </c>
      <c r="T408" t="b">
        <f t="shared" si="20"/>
        <v>0</v>
      </c>
      <c r="U408" t="b">
        <f t="shared" si="21"/>
        <v>1</v>
      </c>
      <c r="V408" t="b">
        <f t="shared" si="22"/>
        <v>0</v>
      </c>
      <c r="W408" t="b">
        <f t="shared" si="23"/>
        <v>0</v>
      </c>
      <c r="X408" t="s">
        <v>891</v>
      </c>
    </row>
    <row r="409" spans="1:24" x14ac:dyDescent="0.25">
      <c r="A409">
        <v>1</v>
      </c>
      <c r="B409" t="s">
        <v>25</v>
      </c>
      <c r="C409">
        <v>37041460</v>
      </c>
      <c r="D409" t="s">
        <v>344</v>
      </c>
      <c r="E409" t="b">
        <v>1</v>
      </c>
      <c r="F409" t="b">
        <v>1</v>
      </c>
      <c r="G409" t="s">
        <v>530</v>
      </c>
      <c r="H409" t="b">
        <v>0</v>
      </c>
      <c r="I409" t="b">
        <v>0</v>
      </c>
      <c r="J409" t="s">
        <v>1090</v>
      </c>
      <c r="K409">
        <v>5</v>
      </c>
      <c r="L409" t="s">
        <v>594</v>
      </c>
      <c r="Q409">
        <v>0</v>
      </c>
      <c r="R409">
        <v>0</v>
      </c>
      <c r="S409" t="b">
        <v>0</v>
      </c>
      <c r="T409" t="b">
        <f t="shared" si="20"/>
        <v>0</v>
      </c>
      <c r="U409" t="b">
        <f t="shared" si="21"/>
        <v>1</v>
      </c>
      <c r="V409" t="b">
        <f t="shared" si="22"/>
        <v>0</v>
      </c>
      <c r="W409" t="b">
        <f t="shared" si="23"/>
        <v>0</v>
      </c>
      <c r="X409" t="s">
        <v>922</v>
      </c>
    </row>
    <row r="410" spans="1:24" x14ac:dyDescent="0.25">
      <c r="A410">
        <v>1</v>
      </c>
      <c r="B410" t="s">
        <v>25</v>
      </c>
      <c r="C410">
        <v>37041460</v>
      </c>
      <c r="D410" t="s">
        <v>345</v>
      </c>
      <c r="E410" t="b">
        <v>1</v>
      </c>
      <c r="F410" t="b">
        <v>1</v>
      </c>
      <c r="G410" t="s">
        <v>530</v>
      </c>
      <c r="H410" t="b">
        <v>0</v>
      </c>
      <c r="I410" t="b">
        <v>0</v>
      </c>
      <c r="J410" t="s">
        <v>1090</v>
      </c>
      <c r="K410">
        <v>0</v>
      </c>
      <c r="Q410">
        <v>0</v>
      </c>
      <c r="R410">
        <v>0</v>
      </c>
      <c r="S410" t="b">
        <v>0</v>
      </c>
      <c r="T410" t="b">
        <f t="shared" si="20"/>
        <v>0</v>
      </c>
      <c r="U410" t="b">
        <f t="shared" si="21"/>
        <v>1</v>
      </c>
      <c r="V410" t="b">
        <f t="shared" si="22"/>
        <v>0</v>
      </c>
      <c r="W410" t="b">
        <f t="shared" si="23"/>
        <v>0</v>
      </c>
      <c r="X410" t="s">
        <v>923</v>
      </c>
    </row>
    <row r="411" spans="1:24" x14ac:dyDescent="0.25">
      <c r="A411">
        <v>1</v>
      </c>
      <c r="B411" t="s">
        <v>25</v>
      </c>
      <c r="C411">
        <v>37041460</v>
      </c>
      <c r="D411" t="s">
        <v>461</v>
      </c>
      <c r="E411" t="b">
        <v>1</v>
      </c>
      <c r="F411" t="b">
        <v>1</v>
      </c>
      <c r="G411" t="s">
        <v>518</v>
      </c>
      <c r="H411" t="b">
        <v>0</v>
      </c>
      <c r="I411" t="b">
        <v>0</v>
      </c>
      <c r="J411" t="s">
        <v>1090</v>
      </c>
      <c r="K411">
        <v>0</v>
      </c>
      <c r="Q411">
        <v>0</v>
      </c>
      <c r="R411">
        <v>0</v>
      </c>
      <c r="S411" t="b">
        <v>0</v>
      </c>
      <c r="T411" t="b">
        <f t="shared" si="20"/>
        <v>0</v>
      </c>
      <c r="U411" t="b">
        <f t="shared" si="21"/>
        <v>1</v>
      </c>
      <c r="V411" t="b">
        <f t="shared" si="22"/>
        <v>0</v>
      </c>
      <c r="W411" t="b">
        <f t="shared" si="23"/>
        <v>0</v>
      </c>
      <c r="X411" t="s">
        <v>1032</v>
      </c>
    </row>
    <row r="412" spans="1:24" x14ac:dyDescent="0.25">
      <c r="A412">
        <v>1</v>
      </c>
      <c r="B412" t="s">
        <v>25</v>
      </c>
      <c r="C412">
        <v>37041460</v>
      </c>
      <c r="D412" t="s">
        <v>331</v>
      </c>
      <c r="E412" t="b">
        <v>0</v>
      </c>
      <c r="F412" t="b">
        <v>1</v>
      </c>
      <c r="G412" t="s">
        <v>524</v>
      </c>
      <c r="H412" t="b">
        <v>0</v>
      </c>
      <c r="I412" t="b">
        <v>0</v>
      </c>
      <c r="J412" t="s">
        <v>1093</v>
      </c>
      <c r="K412" s="2">
        <v>0</v>
      </c>
      <c r="M412" t="s">
        <v>621</v>
      </c>
      <c r="N412" t="s">
        <v>663</v>
      </c>
      <c r="O412" t="s">
        <v>663</v>
      </c>
      <c r="Q412">
        <v>0</v>
      </c>
      <c r="R412">
        <v>0</v>
      </c>
      <c r="S412" t="b">
        <v>1</v>
      </c>
      <c r="T412" t="b">
        <f t="shared" si="20"/>
        <v>1</v>
      </c>
      <c r="U412" t="b">
        <f t="shared" si="21"/>
        <v>0</v>
      </c>
      <c r="V412" t="b">
        <f t="shared" si="22"/>
        <v>0</v>
      </c>
      <c r="W412" t="b">
        <f t="shared" si="23"/>
        <v>0</v>
      </c>
      <c r="X412" t="s">
        <v>908</v>
      </c>
    </row>
    <row r="413" spans="1:24" x14ac:dyDescent="0.25">
      <c r="A413">
        <v>1</v>
      </c>
      <c r="B413" t="s">
        <v>25</v>
      </c>
      <c r="C413">
        <v>37041460</v>
      </c>
      <c r="D413" t="s">
        <v>124</v>
      </c>
      <c r="E413" t="b">
        <v>1</v>
      </c>
      <c r="F413" t="b">
        <v>1</v>
      </c>
      <c r="G413" t="s">
        <v>475</v>
      </c>
      <c r="H413" t="b">
        <v>0</v>
      </c>
      <c r="I413" t="b">
        <v>0</v>
      </c>
      <c r="J413" t="s">
        <v>1103</v>
      </c>
      <c r="K413">
        <v>0</v>
      </c>
      <c r="M413" t="s">
        <v>610</v>
      </c>
      <c r="N413" t="s">
        <v>663</v>
      </c>
      <c r="O413" t="s">
        <v>663</v>
      </c>
      <c r="Q413">
        <v>0</v>
      </c>
      <c r="R413">
        <v>0</v>
      </c>
      <c r="S413" t="b">
        <v>0</v>
      </c>
      <c r="T413" t="b">
        <f t="shared" si="20"/>
        <v>0</v>
      </c>
      <c r="U413" t="b">
        <f t="shared" si="21"/>
        <v>1</v>
      </c>
      <c r="V413" t="b">
        <f t="shared" si="22"/>
        <v>0</v>
      </c>
      <c r="W413" t="b">
        <f t="shared" si="23"/>
        <v>0</v>
      </c>
      <c r="X413" t="s">
        <v>710</v>
      </c>
    </row>
    <row r="414" spans="1:24" x14ac:dyDescent="0.25">
      <c r="A414">
        <v>1</v>
      </c>
      <c r="B414" t="s">
        <v>25</v>
      </c>
      <c r="C414">
        <v>37041460</v>
      </c>
      <c r="D414" t="s">
        <v>126</v>
      </c>
      <c r="E414" t="b">
        <v>1</v>
      </c>
      <c r="F414" t="b">
        <v>1</v>
      </c>
      <c r="G414" t="s">
        <v>475</v>
      </c>
      <c r="H414" t="b">
        <v>0</v>
      </c>
      <c r="I414" t="b">
        <v>0</v>
      </c>
      <c r="J414" t="s">
        <v>1103</v>
      </c>
      <c r="K414">
        <v>0</v>
      </c>
      <c r="L414" t="s">
        <v>558</v>
      </c>
      <c r="N414" t="s">
        <v>664</v>
      </c>
      <c r="O414" t="s">
        <v>664</v>
      </c>
      <c r="Q414">
        <v>0</v>
      </c>
      <c r="R414">
        <v>0</v>
      </c>
      <c r="S414" t="b">
        <v>0</v>
      </c>
      <c r="T414" t="b">
        <f t="shared" si="20"/>
        <v>0</v>
      </c>
      <c r="U414" t="b">
        <f t="shared" si="21"/>
        <v>1</v>
      </c>
      <c r="V414" t="b">
        <f t="shared" si="22"/>
        <v>0</v>
      </c>
      <c r="W414" t="b">
        <f t="shared" si="23"/>
        <v>0</v>
      </c>
      <c r="X414" t="s">
        <v>712</v>
      </c>
    </row>
    <row r="415" spans="1:24" x14ac:dyDescent="0.25">
      <c r="A415">
        <v>1</v>
      </c>
      <c r="B415" t="s">
        <v>25</v>
      </c>
      <c r="C415">
        <v>37041460</v>
      </c>
      <c r="D415" t="s">
        <v>125</v>
      </c>
      <c r="E415" t="b">
        <v>0</v>
      </c>
      <c r="F415" t="b">
        <v>1</v>
      </c>
      <c r="G415" t="s">
        <v>475</v>
      </c>
      <c r="H415" t="b">
        <v>0</v>
      </c>
      <c r="I415" t="b">
        <v>0</v>
      </c>
      <c r="J415" t="s">
        <v>1097</v>
      </c>
      <c r="K415" s="2">
        <v>0</v>
      </c>
      <c r="L415" t="s">
        <v>558</v>
      </c>
      <c r="M415" t="s">
        <v>611</v>
      </c>
      <c r="N415" t="s">
        <v>664</v>
      </c>
      <c r="O415" t="s">
        <v>664</v>
      </c>
      <c r="Q415">
        <v>0</v>
      </c>
      <c r="R415">
        <v>0</v>
      </c>
      <c r="S415" t="b">
        <v>1</v>
      </c>
      <c r="T415" t="b">
        <f t="shared" si="20"/>
        <v>1</v>
      </c>
      <c r="U415" t="b">
        <f t="shared" si="21"/>
        <v>0</v>
      </c>
      <c r="V415" t="b">
        <f t="shared" si="22"/>
        <v>0</v>
      </c>
      <c r="W415" t="b">
        <f t="shared" si="23"/>
        <v>0</v>
      </c>
      <c r="X415" t="s">
        <v>711</v>
      </c>
    </row>
    <row r="416" spans="1:24" x14ac:dyDescent="0.25">
      <c r="A416">
        <v>1</v>
      </c>
      <c r="B416" t="s">
        <v>25</v>
      </c>
      <c r="C416">
        <v>37041460</v>
      </c>
      <c r="D416" t="s">
        <v>459</v>
      </c>
      <c r="E416" t="b">
        <v>0</v>
      </c>
      <c r="F416" t="b">
        <v>1</v>
      </c>
      <c r="G416" t="s">
        <v>524</v>
      </c>
      <c r="H416" t="b">
        <v>0</v>
      </c>
      <c r="I416" t="b">
        <v>0</v>
      </c>
      <c r="J416" t="s">
        <v>1093</v>
      </c>
      <c r="K416" s="2">
        <v>0</v>
      </c>
      <c r="L416" t="s">
        <v>606</v>
      </c>
      <c r="M416" t="s">
        <v>621</v>
      </c>
      <c r="N416" t="s">
        <v>700</v>
      </c>
      <c r="O416" t="s">
        <v>700</v>
      </c>
      <c r="Q416">
        <v>0</v>
      </c>
      <c r="R416">
        <v>0</v>
      </c>
      <c r="S416" t="b">
        <v>1</v>
      </c>
      <c r="T416" t="b">
        <f t="shared" si="20"/>
        <v>1</v>
      </c>
      <c r="U416" t="b">
        <f t="shared" si="21"/>
        <v>0</v>
      </c>
      <c r="V416" t="b">
        <f t="shared" si="22"/>
        <v>0</v>
      </c>
      <c r="W416" t="b">
        <f t="shared" si="23"/>
        <v>0</v>
      </c>
      <c r="X416" t="s">
        <v>1030</v>
      </c>
    </row>
    <row r="417" spans="1:24" x14ac:dyDescent="0.25">
      <c r="A417">
        <v>1</v>
      </c>
      <c r="B417" t="s">
        <v>25</v>
      </c>
      <c r="C417">
        <v>37041460</v>
      </c>
      <c r="D417" t="s">
        <v>458</v>
      </c>
      <c r="E417" t="b">
        <v>0</v>
      </c>
      <c r="F417" t="b">
        <v>1</v>
      </c>
      <c r="G417" t="s">
        <v>524</v>
      </c>
      <c r="H417" t="b">
        <v>0</v>
      </c>
      <c r="I417" t="b">
        <v>0</v>
      </c>
      <c r="J417" t="s">
        <v>1093</v>
      </c>
      <c r="K417" s="2">
        <v>0</v>
      </c>
      <c r="L417" t="s">
        <v>606</v>
      </c>
      <c r="M417" t="s">
        <v>621</v>
      </c>
      <c r="N417" t="s">
        <v>700</v>
      </c>
      <c r="O417" t="s">
        <v>700</v>
      </c>
      <c r="Q417">
        <v>0</v>
      </c>
      <c r="R417">
        <v>0</v>
      </c>
      <c r="S417" t="b">
        <v>1</v>
      </c>
      <c r="T417" t="b">
        <f t="shared" si="20"/>
        <v>1</v>
      </c>
      <c r="U417" t="b">
        <f t="shared" si="21"/>
        <v>0</v>
      </c>
      <c r="V417" t="b">
        <f t="shared" si="22"/>
        <v>0</v>
      </c>
      <c r="W417" t="b">
        <f t="shared" si="23"/>
        <v>0</v>
      </c>
      <c r="X417" t="s">
        <v>1029</v>
      </c>
    </row>
    <row r="418" spans="1:24" x14ac:dyDescent="0.25">
      <c r="A418">
        <v>1</v>
      </c>
      <c r="B418" t="s">
        <v>25</v>
      </c>
      <c r="C418">
        <v>37041460</v>
      </c>
      <c r="D418" t="s">
        <v>457</v>
      </c>
      <c r="E418" t="b">
        <v>0</v>
      </c>
      <c r="F418" t="b">
        <v>1</v>
      </c>
      <c r="G418" t="s">
        <v>524</v>
      </c>
      <c r="H418" t="b">
        <v>0</v>
      </c>
      <c r="I418" t="b">
        <v>0</v>
      </c>
      <c r="J418" t="s">
        <v>1093</v>
      </c>
      <c r="K418" s="2">
        <v>0</v>
      </c>
      <c r="L418" t="s">
        <v>606</v>
      </c>
      <c r="M418" t="s">
        <v>621</v>
      </c>
      <c r="N418" t="s">
        <v>700</v>
      </c>
      <c r="O418" t="s">
        <v>700</v>
      </c>
      <c r="Q418">
        <v>0</v>
      </c>
      <c r="R418">
        <v>0</v>
      </c>
      <c r="S418" t="b">
        <v>1</v>
      </c>
      <c r="T418" t="b">
        <f t="shared" si="20"/>
        <v>1</v>
      </c>
      <c r="U418" t="b">
        <f t="shared" si="21"/>
        <v>0</v>
      </c>
      <c r="V418" t="b">
        <f t="shared" si="22"/>
        <v>0</v>
      </c>
      <c r="W418" t="b">
        <f t="shared" si="23"/>
        <v>0</v>
      </c>
      <c r="X418" t="s">
        <v>1028</v>
      </c>
    </row>
    <row r="419" spans="1:24" x14ac:dyDescent="0.25">
      <c r="A419">
        <v>1</v>
      </c>
      <c r="B419" t="s">
        <v>25</v>
      </c>
      <c r="C419">
        <v>37041460</v>
      </c>
      <c r="D419" t="s">
        <v>329</v>
      </c>
      <c r="E419" t="b">
        <v>1</v>
      </c>
      <c r="F419" t="b">
        <v>1</v>
      </c>
      <c r="G419" t="s">
        <v>523</v>
      </c>
      <c r="H419" t="b">
        <v>0</v>
      </c>
      <c r="I419" t="b">
        <v>0</v>
      </c>
      <c r="J419" t="s">
        <v>1114</v>
      </c>
      <c r="K419">
        <v>0</v>
      </c>
      <c r="L419" t="s">
        <v>563</v>
      </c>
      <c r="O419" t="s">
        <v>1080</v>
      </c>
      <c r="Q419">
        <v>0</v>
      </c>
      <c r="R419">
        <v>0</v>
      </c>
      <c r="S419" t="b">
        <v>0</v>
      </c>
      <c r="T419" t="b">
        <f t="shared" si="20"/>
        <v>0</v>
      </c>
      <c r="U419" t="b">
        <f t="shared" si="21"/>
        <v>1</v>
      </c>
      <c r="V419" t="b">
        <f t="shared" si="22"/>
        <v>0</v>
      </c>
      <c r="W419" t="b">
        <f t="shared" si="23"/>
        <v>0</v>
      </c>
      <c r="X419" t="s">
        <v>906</v>
      </c>
    </row>
    <row r="420" spans="1:24" x14ac:dyDescent="0.25">
      <c r="A420">
        <v>1</v>
      </c>
      <c r="B420" t="s">
        <v>25</v>
      </c>
      <c r="C420">
        <v>37041460</v>
      </c>
      <c r="D420" t="s">
        <v>326</v>
      </c>
      <c r="E420" t="b">
        <v>1</v>
      </c>
      <c r="F420" t="b">
        <v>1</v>
      </c>
      <c r="G420" t="s">
        <v>523</v>
      </c>
      <c r="H420" t="b">
        <v>0</v>
      </c>
      <c r="I420" t="b">
        <v>0</v>
      </c>
      <c r="J420" t="s">
        <v>1090</v>
      </c>
      <c r="K420">
        <v>0</v>
      </c>
      <c r="L420" t="s">
        <v>563</v>
      </c>
      <c r="Q420">
        <v>0</v>
      </c>
      <c r="R420">
        <v>0</v>
      </c>
      <c r="S420" t="b">
        <v>0</v>
      </c>
      <c r="T420" t="b">
        <f t="shared" si="20"/>
        <v>0</v>
      </c>
      <c r="U420" t="b">
        <f t="shared" si="21"/>
        <v>1</v>
      </c>
      <c r="V420" t="b">
        <f t="shared" si="22"/>
        <v>0</v>
      </c>
      <c r="W420" t="b">
        <f t="shared" si="23"/>
        <v>0</v>
      </c>
      <c r="X420" t="s">
        <v>903</v>
      </c>
    </row>
    <row r="421" spans="1:24" x14ac:dyDescent="0.25">
      <c r="A421">
        <v>1</v>
      </c>
      <c r="B421" t="s">
        <v>25</v>
      </c>
      <c r="C421">
        <v>37041460</v>
      </c>
      <c r="D421" t="s">
        <v>328</v>
      </c>
      <c r="E421" t="b">
        <v>1</v>
      </c>
      <c r="F421" t="b">
        <v>1</v>
      </c>
      <c r="G421" t="s">
        <v>523</v>
      </c>
      <c r="H421" t="b">
        <v>0</v>
      </c>
      <c r="I421" t="b">
        <v>0</v>
      </c>
      <c r="J421" t="s">
        <v>1114</v>
      </c>
      <c r="K421">
        <v>0</v>
      </c>
      <c r="L421" t="s">
        <v>563</v>
      </c>
      <c r="O421" t="s">
        <v>1080</v>
      </c>
      <c r="Q421">
        <v>0</v>
      </c>
      <c r="R421">
        <v>0</v>
      </c>
      <c r="S421" t="b">
        <v>0</v>
      </c>
      <c r="T421" t="b">
        <f t="shared" si="20"/>
        <v>0</v>
      </c>
      <c r="U421" t="b">
        <f t="shared" si="21"/>
        <v>1</v>
      </c>
      <c r="V421" t="b">
        <f t="shared" si="22"/>
        <v>0</v>
      </c>
      <c r="W421" t="b">
        <f t="shared" si="23"/>
        <v>0</v>
      </c>
      <c r="X421" t="s">
        <v>905</v>
      </c>
    </row>
    <row r="422" spans="1:24" x14ac:dyDescent="0.25">
      <c r="A422">
        <v>1</v>
      </c>
      <c r="B422" t="s">
        <v>25</v>
      </c>
      <c r="C422">
        <v>37041460</v>
      </c>
      <c r="D422" t="s">
        <v>325</v>
      </c>
      <c r="E422" t="b">
        <v>1</v>
      </c>
      <c r="F422" t="b">
        <v>1</v>
      </c>
      <c r="G422" t="s">
        <v>523</v>
      </c>
      <c r="H422" t="b">
        <v>0</v>
      </c>
      <c r="I422" t="b">
        <v>0</v>
      </c>
      <c r="J422" t="s">
        <v>1090</v>
      </c>
      <c r="K422">
        <v>0</v>
      </c>
      <c r="L422" t="s">
        <v>563</v>
      </c>
      <c r="Q422">
        <v>0</v>
      </c>
      <c r="R422">
        <v>0</v>
      </c>
      <c r="S422" t="b">
        <v>0</v>
      </c>
      <c r="T422" t="b">
        <f t="shared" si="20"/>
        <v>0</v>
      </c>
      <c r="U422" t="b">
        <f t="shared" si="21"/>
        <v>1</v>
      </c>
      <c r="V422" t="b">
        <f t="shared" si="22"/>
        <v>0</v>
      </c>
      <c r="W422" t="b">
        <f t="shared" si="23"/>
        <v>0</v>
      </c>
      <c r="X422" t="s">
        <v>902</v>
      </c>
    </row>
    <row r="423" spans="1:24" x14ac:dyDescent="0.25">
      <c r="A423">
        <v>1</v>
      </c>
      <c r="B423" t="s">
        <v>25</v>
      </c>
      <c r="C423">
        <v>37041460</v>
      </c>
      <c r="D423" t="s">
        <v>327</v>
      </c>
      <c r="E423" t="b">
        <v>1</v>
      </c>
      <c r="F423" t="b">
        <v>1</v>
      </c>
      <c r="G423" t="s">
        <v>523</v>
      </c>
      <c r="H423" t="b">
        <v>0</v>
      </c>
      <c r="I423" t="b">
        <v>0</v>
      </c>
      <c r="J423" t="s">
        <v>1114</v>
      </c>
      <c r="K423">
        <v>0</v>
      </c>
      <c r="L423" t="s">
        <v>563</v>
      </c>
      <c r="O423" t="s">
        <v>1080</v>
      </c>
      <c r="Q423">
        <v>0</v>
      </c>
      <c r="R423">
        <v>0</v>
      </c>
      <c r="S423" t="b">
        <v>0</v>
      </c>
      <c r="T423" t="b">
        <f t="shared" si="20"/>
        <v>0</v>
      </c>
      <c r="U423" t="b">
        <f t="shared" si="21"/>
        <v>1</v>
      </c>
      <c r="V423" t="b">
        <f t="shared" si="22"/>
        <v>0</v>
      </c>
      <c r="W423" t="b">
        <f t="shared" si="23"/>
        <v>0</v>
      </c>
      <c r="X423" t="s">
        <v>904</v>
      </c>
    </row>
    <row r="424" spans="1:24" x14ac:dyDescent="0.25">
      <c r="A424">
        <v>1</v>
      </c>
      <c r="B424" t="s">
        <v>25</v>
      </c>
      <c r="C424">
        <v>37041460</v>
      </c>
      <c r="D424" t="s">
        <v>324</v>
      </c>
      <c r="E424" t="b">
        <v>1</v>
      </c>
      <c r="F424" t="b">
        <v>1</v>
      </c>
      <c r="G424" t="s">
        <v>523</v>
      </c>
      <c r="H424" t="b">
        <v>0</v>
      </c>
      <c r="I424" t="b">
        <v>0</v>
      </c>
      <c r="J424" t="s">
        <v>1090</v>
      </c>
      <c r="K424">
        <v>0</v>
      </c>
      <c r="L424" t="s">
        <v>563</v>
      </c>
      <c r="Q424">
        <v>0</v>
      </c>
      <c r="R424">
        <v>0</v>
      </c>
      <c r="S424" t="b">
        <v>0</v>
      </c>
      <c r="T424" t="b">
        <f t="shared" si="20"/>
        <v>0</v>
      </c>
      <c r="U424" t="b">
        <f t="shared" si="21"/>
        <v>1</v>
      </c>
      <c r="V424" t="b">
        <f t="shared" si="22"/>
        <v>0</v>
      </c>
      <c r="W424" t="b">
        <f t="shared" si="23"/>
        <v>0</v>
      </c>
      <c r="X424" t="s">
        <v>901</v>
      </c>
    </row>
    <row r="425" spans="1:24" x14ac:dyDescent="0.25">
      <c r="A425">
        <v>1</v>
      </c>
      <c r="B425" t="s">
        <v>25</v>
      </c>
      <c r="C425">
        <v>37041460</v>
      </c>
      <c r="D425" t="s">
        <v>307</v>
      </c>
      <c r="E425" t="b">
        <v>1</v>
      </c>
      <c r="F425" t="b">
        <v>1</v>
      </c>
      <c r="G425" t="s">
        <v>518</v>
      </c>
      <c r="H425" t="b">
        <v>0</v>
      </c>
      <c r="I425" t="b">
        <v>0</v>
      </c>
      <c r="J425" t="s">
        <v>1093</v>
      </c>
      <c r="K425" s="2">
        <v>0</v>
      </c>
      <c r="L425" t="s">
        <v>589</v>
      </c>
      <c r="M425" t="s">
        <v>621</v>
      </c>
      <c r="N425" t="s">
        <v>665</v>
      </c>
      <c r="O425" t="s">
        <v>665</v>
      </c>
      <c r="Q425">
        <v>0</v>
      </c>
      <c r="R425">
        <v>0</v>
      </c>
      <c r="S425" t="b">
        <v>1</v>
      </c>
      <c r="T425" t="b">
        <f t="shared" si="20"/>
        <v>0</v>
      </c>
      <c r="U425" t="b">
        <f t="shared" si="21"/>
        <v>0</v>
      </c>
      <c r="V425" t="b">
        <f t="shared" si="22"/>
        <v>1</v>
      </c>
      <c r="W425" t="b">
        <f t="shared" si="23"/>
        <v>0</v>
      </c>
      <c r="X425" t="s">
        <v>885</v>
      </c>
    </row>
    <row r="426" spans="1:24" x14ac:dyDescent="0.25">
      <c r="A426">
        <v>1</v>
      </c>
      <c r="B426" t="s">
        <v>25</v>
      </c>
      <c r="C426">
        <v>37041460</v>
      </c>
      <c r="D426" t="s">
        <v>130</v>
      </c>
      <c r="E426" t="b">
        <v>1</v>
      </c>
      <c r="F426" t="b">
        <v>1</v>
      </c>
      <c r="G426" t="s">
        <v>476</v>
      </c>
      <c r="H426" t="b">
        <v>0</v>
      </c>
      <c r="I426" t="b">
        <v>0</v>
      </c>
      <c r="J426" t="s">
        <v>1103</v>
      </c>
      <c r="K426">
        <v>0</v>
      </c>
      <c r="L426" t="s">
        <v>559</v>
      </c>
      <c r="M426" t="s">
        <v>612</v>
      </c>
      <c r="N426" t="s">
        <v>665</v>
      </c>
      <c r="O426" t="s">
        <v>665</v>
      </c>
      <c r="Q426">
        <v>0</v>
      </c>
      <c r="R426">
        <v>0</v>
      </c>
      <c r="S426" t="b">
        <v>0</v>
      </c>
      <c r="T426" t="b">
        <f t="shared" si="20"/>
        <v>0</v>
      </c>
      <c r="U426" t="b">
        <f t="shared" si="21"/>
        <v>1</v>
      </c>
      <c r="V426" t="b">
        <f t="shared" si="22"/>
        <v>0</v>
      </c>
      <c r="W426" t="b">
        <f t="shared" si="23"/>
        <v>0</v>
      </c>
      <c r="X426" t="s">
        <v>716</v>
      </c>
    </row>
    <row r="427" spans="1:24" x14ac:dyDescent="0.25">
      <c r="A427">
        <v>1</v>
      </c>
      <c r="B427" t="s">
        <v>25</v>
      </c>
      <c r="C427">
        <v>37041460</v>
      </c>
      <c r="D427" t="s">
        <v>463</v>
      </c>
      <c r="E427" t="b">
        <v>0</v>
      </c>
      <c r="F427" t="b">
        <v>1</v>
      </c>
      <c r="G427" t="s">
        <v>518</v>
      </c>
      <c r="H427" t="b">
        <v>0</v>
      </c>
      <c r="I427" t="b">
        <v>0</v>
      </c>
      <c r="J427" t="s">
        <v>1093</v>
      </c>
      <c r="K427" s="2">
        <v>0</v>
      </c>
      <c r="L427" t="s">
        <v>589</v>
      </c>
      <c r="M427" t="s">
        <v>621</v>
      </c>
      <c r="N427" t="s">
        <v>665</v>
      </c>
      <c r="O427" t="s">
        <v>665</v>
      </c>
      <c r="Q427">
        <v>0</v>
      </c>
      <c r="R427">
        <v>0</v>
      </c>
      <c r="S427" t="b">
        <v>1</v>
      </c>
      <c r="T427" t="b">
        <f t="shared" si="20"/>
        <v>1</v>
      </c>
      <c r="U427" t="b">
        <f t="shared" si="21"/>
        <v>0</v>
      </c>
      <c r="V427" t="b">
        <f t="shared" si="22"/>
        <v>0</v>
      </c>
      <c r="W427" t="b">
        <f t="shared" si="23"/>
        <v>0</v>
      </c>
      <c r="X427" t="s">
        <v>1034</v>
      </c>
    </row>
    <row r="428" spans="1:24" x14ac:dyDescent="0.25">
      <c r="A428">
        <v>1</v>
      </c>
      <c r="B428" t="s">
        <v>25</v>
      </c>
      <c r="C428">
        <v>37041460</v>
      </c>
      <c r="D428" t="s">
        <v>129</v>
      </c>
      <c r="E428" t="b">
        <v>1</v>
      </c>
      <c r="F428" t="b">
        <v>1</v>
      </c>
      <c r="G428" t="s">
        <v>476</v>
      </c>
      <c r="H428" t="b">
        <v>0</v>
      </c>
      <c r="I428" t="b">
        <v>0</v>
      </c>
      <c r="J428" t="s">
        <v>1103</v>
      </c>
      <c r="K428" s="2">
        <v>0</v>
      </c>
      <c r="L428" t="s">
        <v>559</v>
      </c>
      <c r="M428" t="s">
        <v>612</v>
      </c>
      <c r="N428" t="s">
        <v>665</v>
      </c>
      <c r="O428" t="s">
        <v>665</v>
      </c>
      <c r="Q428">
        <v>0</v>
      </c>
      <c r="R428">
        <v>0</v>
      </c>
      <c r="S428" t="b">
        <v>1</v>
      </c>
      <c r="T428" t="b">
        <f t="shared" si="20"/>
        <v>0</v>
      </c>
      <c r="U428" t="b">
        <f t="shared" si="21"/>
        <v>0</v>
      </c>
      <c r="V428" t="b">
        <f t="shared" si="22"/>
        <v>1</v>
      </c>
      <c r="W428" t="b">
        <f t="shared" si="23"/>
        <v>0</v>
      </c>
      <c r="X428" t="s">
        <v>715</v>
      </c>
    </row>
    <row r="429" spans="1:24" x14ac:dyDescent="0.25">
      <c r="A429">
        <v>1</v>
      </c>
      <c r="B429" t="s">
        <v>25</v>
      </c>
      <c r="C429">
        <v>37041460</v>
      </c>
      <c r="D429" t="s">
        <v>462</v>
      </c>
      <c r="E429" t="b">
        <v>0</v>
      </c>
      <c r="F429" t="b">
        <v>1</v>
      </c>
      <c r="G429" t="s">
        <v>518</v>
      </c>
      <c r="H429" t="b">
        <v>0</v>
      </c>
      <c r="I429" t="b">
        <v>0</v>
      </c>
      <c r="J429" t="s">
        <v>1093</v>
      </c>
      <c r="K429" s="2">
        <v>0</v>
      </c>
      <c r="L429" t="s">
        <v>589</v>
      </c>
      <c r="M429" t="s">
        <v>621</v>
      </c>
      <c r="N429" t="s">
        <v>665</v>
      </c>
      <c r="O429" t="s">
        <v>665</v>
      </c>
      <c r="Q429">
        <v>0</v>
      </c>
      <c r="R429">
        <v>0</v>
      </c>
      <c r="S429" t="b">
        <v>1</v>
      </c>
      <c r="T429" t="b">
        <f t="shared" si="20"/>
        <v>1</v>
      </c>
      <c r="U429" t="b">
        <f t="shared" si="21"/>
        <v>0</v>
      </c>
      <c r="V429" t="b">
        <f t="shared" si="22"/>
        <v>0</v>
      </c>
      <c r="W429" t="b">
        <f t="shared" si="23"/>
        <v>0</v>
      </c>
      <c r="X429" t="s">
        <v>1033</v>
      </c>
    </row>
    <row r="430" spans="1:24" x14ac:dyDescent="0.25">
      <c r="A430">
        <v>1</v>
      </c>
      <c r="B430" t="s">
        <v>25</v>
      </c>
      <c r="C430">
        <v>37041460</v>
      </c>
      <c r="D430" t="s">
        <v>128</v>
      </c>
      <c r="E430" t="b">
        <v>1</v>
      </c>
      <c r="F430" t="b">
        <v>1</v>
      </c>
      <c r="G430" t="s">
        <v>476</v>
      </c>
      <c r="H430" t="b">
        <v>0</v>
      </c>
      <c r="I430" t="b">
        <v>0</v>
      </c>
      <c r="J430" t="s">
        <v>1103</v>
      </c>
      <c r="K430">
        <v>0</v>
      </c>
      <c r="L430" t="s">
        <v>559</v>
      </c>
      <c r="M430" t="s">
        <v>612</v>
      </c>
      <c r="N430" t="s">
        <v>665</v>
      </c>
      <c r="O430" t="s">
        <v>665</v>
      </c>
      <c r="Q430">
        <v>0</v>
      </c>
      <c r="R430">
        <v>0</v>
      </c>
      <c r="S430" t="b">
        <v>0</v>
      </c>
      <c r="T430" t="b">
        <f t="shared" si="20"/>
        <v>0</v>
      </c>
      <c r="U430" t="b">
        <f t="shared" si="21"/>
        <v>1</v>
      </c>
      <c r="V430" t="b">
        <f t="shared" si="22"/>
        <v>0</v>
      </c>
      <c r="W430" t="b">
        <f t="shared" si="23"/>
        <v>0</v>
      </c>
      <c r="X430" t="s">
        <v>714</v>
      </c>
    </row>
    <row r="431" spans="1:24" x14ac:dyDescent="0.25">
      <c r="A431">
        <v>1</v>
      </c>
      <c r="B431" t="s">
        <v>25</v>
      </c>
      <c r="C431">
        <v>37041460</v>
      </c>
      <c r="D431" t="s">
        <v>308</v>
      </c>
      <c r="E431" t="b">
        <v>1</v>
      </c>
      <c r="F431" t="b">
        <v>1</v>
      </c>
      <c r="G431" t="s">
        <v>518</v>
      </c>
      <c r="H431" t="b">
        <v>0</v>
      </c>
      <c r="I431" t="b">
        <v>0</v>
      </c>
      <c r="J431" t="s">
        <v>1090</v>
      </c>
      <c r="K431">
        <v>2</v>
      </c>
      <c r="Q431">
        <v>0</v>
      </c>
      <c r="R431">
        <v>0</v>
      </c>
      <c r="S431" t="b">
        <v>0</v>
      </c>
      <c r="T431" t="b">
        <f t="shared" si="20"/>
        <v>0</v>
      </c>
      <c r="U431" t="b">
        <f t="shared" si="21"/>
        <v>1</v>
      </c>
      <c r="V431" t="b">
        <f t="shared" si="22"/>
        <v>0</v>
      </c>
      <c r="W431" t="b">
        <f t="shared" si="23"/>
        <v>0</v>
      </c>
      <c r="X431" t="s">
        <v>886</v>
      </c>
    </row>
    <row r="432" spans="1:24" x14ac:dyDescent="0.25">
      <c r="A432">
        <v>1</v>
      </c>
      <c r="B432" t="s">
        <v>25</v>
      </c>
      <c r="C432">
        <v>37041460</v>
      </c>
      <c r="D432" t="s">
        <v>460</v>
      </c>
      <c r="E432" t="b">
        <v>1</v>
      </c>
      <c r="F432" t="b">
        <v>1</v>
      </c>
      <c r="G432" t="s">
        <v>524</v>
      </c>
      <c r="H432" t="b">
        <v>0</v>
      </c>
      <c r="I432" t="b">
        <v>0</v>
      </c>
      <c r="J432" t="s">
        <v>1090</v>
      </c>
      <c r="K432">
        <v>2</v>
      </c>
      <c r="Q432">
        <v>0</v>
      </c>
      <c r="R432">
        <v>0</v>
      </c>
      <c r="S432" t="b">
        <v>0</v>
      </c>
      <c r="T432" t="b">
        <f t="shared" si="20"/>
        <v>0</v>
      </c>
      <c r="U432" t="b">
        <f t="shared" si="21"/>
        <v>1</v>
      </c>
      <c r="V432" t="b">
        <f t="shared" si="22"/>
        <v>0</v>
      </c>
      <c r="W432" t="b">
        <f t="shared" si="23"/>
        <v>0</v>
      </c>
      <c r="X432" t="s">
        <v>1031</v>
      </c>
    </row>
    <row r="433" spans="1:24" x14ac:dyDescent="0.25">
      <c r="A433">
        <v>1</v>
      </c>
      <c r="B433" t="s">
        <v>25</v>
      </c>
      <c r="C433">
        <v>37041460</v>
      </c>
      <c r="D433" t="s">
        <v>330</v>
      </c>
      <c r="E433" t="b">
        <v>1</v>
      </c>
      <c r="F433" t="b">
        <v>1</v>
      </c>
      <c r="G433" t="s">
        <v>523</v>
      </c>
      <c r="H433" t="b">
        <v>0</v>
      </c>
      <c r="I433" t="b">
        <v>0</v>
      </c>
      <c r="J433" t="s">
        <v>1090</v>
      </c>
      <c r="K433">
        <v>2</v>
      </c>
      <c r="Q433">
        <v>0</v>
      </c>
      <c r="R433">
        <v>0</v>
      </c>
      <c r="S433" t="b">
        <v>0</v>
      </c>
      <c r="T433" t="b">
        <f t="shared" si="20"/>
        <v>0</v>
      </c>
      <c r="U433" t="b">
        <f t="shared" si="21"/>
        <v>1</v>
      </c>
      <c r="V433" t="b">
        <f t="shared" si="22"/>
        <v>0</v>
      </c>
      <c r="W433" t="b">
        <f t="shared" si="23"/>
        <v>0</v>
      </c>
      <c r="X433" t="s">
        <v>907</v>
      </c>
    </row>
    <row r="434" spans="1:24" x14ac:dyDescent="0.25">
      <c r="A434">
        <v>1</v>
      </c>
      <c r="B434" t="s">
        <v>25</v>
      </c>
      <c r="C434">
        <v>37041460</v>
      </c>
      <c r="D434" t="s">
        <v>323</v>
      </c>
      <c r="E434" t="b">
        <v>1</v>
      </c>
      <c r="F434" t="b">
        <v>1</v>
      </c>
      <c r="G434" t="s">
        <v>476</v>
      </c>
      <c r="H434" t="b">
        <v>0</v>
      </c>
      <c r="I434" t="b">
        <v>0</v>
      </c>
      <c r="J434" t="s">
        <v>1090</v>
      </c>
      <c r="K434">
        <v>2</v>
      </c>
      <c r="Q434">
        <v>0</v>
      </c>
      <c r="R434">
        <v>0</v>
      </c>
      <c r="S434" t="b">
        <v>0</v>
      </c>
      <c r="T434" t="b">
        <f t="shared" si="20"/>
        <v>0</v>
      </c>
      <c r="U434" t="b">
        <f t="shared" si="21"/>
        <v>1</v>
      </c>
      <c r="V434" t="b">
        <f t="shared" si="22"/>
        <v>0</v>
      </c>
      <c r="W434" t="b">
        <f t="shared" si="23"/>
        <v>0</v>
      </c>
      <c r="X434" t="s">
        <v>886</v>
      </c>
    </row>
    <row r="435" spans="1:24" x14ac:dyDescent="0.25">
      <c r="A435">
        <v>1</v>
      </c>
      <c r="B435" t="s">
        <v>25</v>
      </c>
      <c r="C435">
        <v>37041460</v>
      </c>
      <c r="D435" t="s">
        <v>127</v>
      </c>
      <c r="E435" t="b">
        <v>1</v>
      </c>
      <c r="F435" t="b">
        <v>1</v>
      </c>
      <c r="G435" t="s">
        <v>475</v>
      </c>
      <c r="H435" t="b">
        <v>0</v>
      </c>
      <c r="I435" t="b">
        <v>0</v>
      </c>
      <c r="J435" t="s">
        <v>1090</v>
      </c>
      <c r="K435">
        <v>0</v>
      </c>
      <c r="Q435">
        <v>0</v>
      </c>
      <c r="R435">
        <v>0</v>
      </c>
      <c r="S435" t="b">
        <v>0</v>
      </c>
      <c r="T435" t="b">
        <f t="shared" si="20"/>
        <v>0</v>
      </c>
      <c r="U435" t="b">
        <f t="shared" si="21"/>
        <v>1</v>
      </c>
      <c r="V435" t="b">
        <f t="shared" si="22"/>
        <v>0</v>
      </c>
      <c r="W435" t="b">
        <f t="shared" si="23"/>
        <v>0</v>
      </c>
      <c r="X435" t="s">
        <v>713</v>
      </c>
    </row>
    <row r="436" spans="1:24" x14ac:dyDescent="0.25">
      <c r="A436">
        <v>1</v>
      </c>
      <c r="B436" t="s">
        <v>25</v>
      </c>
      <c r="C436">
        <v>37041460</v>
      </c>
      <c r="D436" t="s">
        <v>346</v>
      </c>
      <c r="E436" t="b">
        <v>1</v>
      </c>
      <c r="F436" t="b">
        <v>1</v>
      </c>
      <c r="G436" t="s">
        <v>530</v>
      </c>
      <c r="H436" t="b">
        <v>0</v>
      </c>
      <c r="I436" t="b">
        <v>0</v>
      </c>
      <c r="J436" t="s">
        <v>1090</v>
      </c>
      <c r="K436">
        <v>0</v>
      </c>
      <c r="Q436">
        <v>0</v>
      </c>
      <c r="R436">
        <v>0</v>
      </c>
      <c r="S436" t="b">
        <v>0</v>
      </c>
      <c r="T436" t="b">
        <f t="shared" si="20"/>
        <v>0</v>
      </c>
      <c r="U436" t="b">
        <f t="shared" si="21"/>
        <v>1</v>
      </c>
      <c r="V436" t="b">
        <f t="shared" si="22"/>
        <v>0</v>
      </c>
      <c r="W436" t="b">
        <f t="shared" si="23"/>
        <v>0</v>
      </c>
      <c r="X436" t="s">
        <v>907</v>
      </c>
    </row>
    <row r="437" spans="1:24" x14ac:dyDescent="0.25">
      <c r="A437">
        <v>1</v>
      </c>
      <c r="B437" t="s">
        <v>26</v>
      </c>
      <c r="C437">
        <v>37704762</v>
      </c>
      <c r="D437" t="s">
        <v>341</v>
      </c>
      <c r="E437" t="b">
        <v>0</v>
      </c>
      <c r="F437" t="b">
        <v>1</v>
      </c>
      <c r="G437" t="s">
        <v>527</v>
      </c>
      <c r="H437" t="b">
        <v>0</v>
      </c>
      <c r="I437" t="b">
        <v>0</v>
      </c>
      <c r="J437" t="s">
        <v>1093</v>
      </c>
      <c r="K437" s="2">
        <v>0</v>
      </c>
      <c r="L437" t="s">
        <v>593</v>
      </c>
      <c r="M437" t="s">
        <v>649</v>
      </c>
      <c r="N437" t="s">
        <v>691</v>
      </c>
      <c r="O437" t="s">
        <v>691</v>
      </c>
      <c r="Q437">
        <v>0</v>
      </c>
      <c r="R437">
        <v>0</v>
      </c>
      <c r="S437" t="b">
        <v>1</v>
      </c>
      <c r="T437" t="b">
        <f t="shared" si="20"/>
        <v>1</v>
      </c>
      <c r="U437" t="b">
        <f t="shared" si="21"/>
        <v>0</v>
      </c>
      <c r="V437" t="b">
        <f t="shared" si="22"/>
        <v>0</v>
      </c>
      <c r="W437" t="b">
        <f t="shared" si="23"/>
        <v>0</v>
      </c>
      <c r="X437" t="s">
        <v>918</v>
      </c>
    </row>
    <row r="438" spans="1:24" x14ac:dyDescent="0.25">
      <c r="A438">
        <v>1</v>
      </c>
      <c r="B438" t="s">
        <v>26</v>
      </c>
      <c r="C438">
        <v>37704762</v>
      </c>
      <c r="D438" t="s">
        <v>340</v>
      </c>
      <c r="E438" t="b">
        <v>0</v>
      </c>
      <c r="F438" t="b">
        <v>1</v>
      </c>
      <c r="G438" t="s">
        <v>526</v>
      </c>
      <c r="H438" t="b">
        <v>0</v>
      </c>
      <c r="I438" t="b">
        <v>0</v>
      </c>
      <c r="J438" t="s">
        <v>1086</v>
      </c>
      <c r="K438">
        <v>0</v>
      </c>
      <c r="L438" t="s">
        <v>580</v>
      </c>
      <c r="M438" t="s">
        <v>639</v>
      </c>
      <c r="O438" t="s">
        <v>1080</v>
      </c>
      <c r="Q438">
        <v>0</v>
      </c>
      <c r="R438">
        <v>0</v>
      </c>
      <c r="S438" t="b">
        <v>0</v>
      </c>
      <c r="T438" t="b">
        <f t="shared" si="20"/>
        <v>0</v>
      </c>
      <c r="U438" t="b">
        <f t="shared" si="21"/>
        <v>0</v>
      </c>
      <c r="V438" t="b">
        <f t="shared" si="22"/>
        <v>0</v>
      </c>
      <c r="W438" t="b">
        <f t="shared" si="23"/>
        <v>1</v>
      </c>
      <c r="X438" t="s">
        <v>917</v>
      </c>
    </row>
    <row r="439" spans="1:24" x14ac:dyDescent="0.25">
      <c r="A439">
        <v>1</v>
      </c>
      <c r="B439" t="s">
        <v>26</v>
      </c>
      <c r="C439">
        <v>37704762</v>
      </c>
      <c r="D439" t="s">
        <v>339</v>
      </c>
      <c r="E439" t="b">
        <v>0</v>
      </c>
      <c r="F439" t="b">
        <v>1</v>
      </c>
      <c r="G439" t="s">
        <v>525</v>
      </c>
      <c r="H439" t="b">
        <v>0</v>
      </c>
      <c r="I439" t="b">
        <v>0</v>
      </c>
      <c r="J439" t="s">
        <v>1086</v>
      </c>
      <c r="K439">
        <v>0</v>
      </c>
      <c r="L439" t="s">
        <v>580</v>
      </c>
      <c r="M439" t="s">
        <v>639</v>
      </c>
      <c r="O439" t="s">
        <v>1080</v>
      </c>
      <c r="Q439">
        <v>0</v>
      </c>
      <c r="R439">
        <v>0</v>
      </c>
      <c r="S439" t="b">
        <v>0</v>
      </c>
      <c r="T439" t="b">
        <f t="shared" si="20"/>
        <v>0</v>
      </c>
      <c r="U439" t="b">
        <f t="shared" si="21"/>
        <v>0</v>
      </c>
      <c r="V439" t="b">
        <f t="shared" si="22"/>
        <v>0</v>
      </c>
      <c r="W439" t="b">
        <f t="shared" si="23"/>
        <v>1</v>
      </c>
      <c r="X439" t="s">
        <v>916</v>
      </c>
    </row>
    <row r="440" spans="1:24" x14ac:dyDescent="0.25">
      <c r="A440">
        <v>1</v>
      </c>
      <c r="B440" t="s">
        <v>26</v>
      </c>
      <c r="C440">
        <v>37704762</v>
      </c>
      <c r="D440" t="s">
        <v>146</v>
      </c>
      <c r="E440" t="b">
        <v>1</v>
      </c>
      <c r="F440" t="b">
        <v>1</v>
      </c>
      <c r="G440" t="s">
        <v>483</v>
      </c>
      <c r="H440" t="b">
        <v>0</v>
      </c>
      <c r="I440" t="b">
        <v>0</v>
      </c>
      <c r="J440" t="s">
        <v>1090</v>
      </c>
      <c r="K440">
        <v>0</v>
      </c>
      <c r="L440" t="s">
        <v>11</v>
      </c>
      <c r="M440" t="s">
        <v>619</v>
      </c>
      <c r="N440" t="s">
        <v>671</v>
      </c>
      <c r="Q440">
        <v>0</v>
      </c>
      <c r="R440">
        <v>0</v>
      </c>
      <c r="S440" t="b">
        <v>0</v>
      </c>
      <c r="T440" t="b">
        <f t="shared" si="20"/>
        <v>0</v>
      </c>
      <c r="U440" t="b">
        <f t="shared" si="21"/>
        <v>1</v>
      </c>
      <c r="V440" t="b">
        <f t="shared" si="22"/>
        <v>0</v>
      </c>
      <c r="W440" t="b">
        <f t="shared" si="23"/>
        <v>0</v>
      </c>
      <c r="X440" t="s">
        <v>731</v>
      </c>
    </row>
    <row r="441" spans="1:24" x14ac:dyDescent="0.25">
      <c r="A441">
        <v>1</v>
      </c>
      <c r="B441" t="s">
        <v>26</v>
      </c>
      <c r="C441">
        <v>37704762</v>
      </c>
      <c r="D441" t="s">
        <v>145</v>
      </c>
      <c r="E441" t="b">
        <v>0</v>
      </c>
      <c r="F441" t="b">
        <v>1</v>
      </c>
      <c r="G441" t="s">
        <v>482</v>
      </c>
      <c r="H441" t="b">
        <v>0</v>
      </c>
      <c r="I441" t="b">
        <v>0</v>
      </c>
      <c r="J441" t="s">
        <v>1093</v>
      </c>
      <c r="K441" s="2">
        <v>0</v>
      </c>
      <c r="L441" t="s">
        <v>11</v>
      </c>
      <c r="M441" t="s">
        <v>618</v>
      </c>
      <c r="N441" t="s">
        <v>670</v>
      </c>
      <c r="O441" t="s">
        <v>670</v>
      </c>
      <c r="Q441">
        <v>0</v>
      </c>
      <c r="R441">
        <v>0</v>
      </c>
      <c r="S441" t="b">
        <v>1</v>
      </c>
      <c r="T441" t="b">
        <f t="shared" si="20"/>
        <v>1</v>
      </c>
      <c r="U441" t="b">
        <f t="shared" si="21"/>
        <v>0</v>
      </c>
      <c r="V441" t="b">
        <f t="shared" si="22"/>
        <v>0</v>
      </c>
      <c r="W441" t="b">
        <f t="shared" si="23"/>
        <v>0</v>
      </c>
      <c r="X441" t="s">
        <v>730</v>
      </c>
    </row>
    <row r="442" spans="1:24" x14ac:dyDescent="0.25">
      <c r="A442">
        <v>1</v>
      </c>
      <c r="B442" t="s">
        <v>26</v>
      </c>
      <c r="C442">
        <v>37704762</v>
      </c>
      <c r="D442" t="s">
        <v>144</v>
      </c>
      <c r="E442" t="b">
        <v>0</v>
      </c>
      <c r="F442" t="b">
        <v>1</v>
      </c>
      <c r="G442" t="s">
        <v>481</v>
      </c>
      <c r="H442" t="b">
        <v>0</v>
      </c>
      <c r="I442" t="b">
        <v>0</v>
      </c>
      <c r="J442" t="s">
        <v>1093</v>
      </c>
      <c r="K442" s="2">
        <v>0</v>
      </c>
      <c r="L442" t="s">
        <v>11</v>
      </c>
      <c r="M442" t="s">
        <v>618</v>
      </c>
      <c r="N442" t="s">
        <v>670</v>
      </c>
      <c r="O442" t="s">
        <v>670</v>
      </c>
      <c r="Q442">
        <v>0</v>
      </c>
      <c r="R442">
        <v>0</v>
      </c>
      <c r="S442" t="b">
        <v>1</v>
      </c>
      <c r="T442" t="b">
        <f t="shared" si="20"/>
        <v>1</v>
      </c>
      <c r="U442" t="b">
        <f t="shared" si="21"/>
        <v>0</v>
      </c>
      <c r="V442" t="b">
        <f t="shared" si="22"/>
        <v>0</v>
      </c>
      <c r="W442" t="b">
        <f t="shared" si="23"/>
        <v>0</v>
      </c>
      <c r="X442" t="s">
        <v>729</v>
      </c>
    </row>
    <row r="443" spans="1:24" x14ac:dyDescent="0.25">
      <c r="A443">
        <v>1</v>
      </c>
      <c r="B443" t="s">
        <v>26</v>
      </c>
      <c r="C443">
        <v>37704762</v>
      </c>
      <c r="D443" t="s">
        <v>343</v>
      </c>
      <c r="E443" t="b">
        <v>1</v>
      </c>
      <c r="F443" t="b">
        <v>1</v>
      </c>
      <c r="G443" t="s">
        <v>529</v>
      </c>
      <c r="H443" t="b">
        <v>0</v>
      </c>
      <c r="I443" t="b">
        <v>0</v>
      </c>
      <c r="J443" t="s">
        <v>1090</v>
      </c>
      <c r="K443">
        <v>0</v>
      </c>
      <c r="Q443">
        <v>0</v>
      </c>
      <c r="R443">
        <v>0</v>
      </c>
      <c r="S443" t="b">
        <v>0</v>
      </c>
      <c r="T443" t="b">
        <f t="shared" si="20"/>
        <v>0</v>
      </c>
      <c r="U443" t="b">
        <f t="shared" si="21"/>
        <v>1</v>
      </c>
      <c r="V443" t="b">
        <f t="shared" si="22"/>
        <v>0</v>
      </c>
      <c r="W443" t="b">
        <f t="shared" si="23"/>
        <v>0</v>
      </c>
      <c r="X443" t="s">
        <v>921</v>
      </c>
    </row>
    <row r="444" spans="1:24" x14ac:dyDescent="0.25">
      <c r="A444">
        <v>1</v>
      </c>
      <c r="B444" t="s">
        <v>26</v>
      </c>
      <c r="C444">
        <v>37704762</v>
      </c>
      <c r="D444" t="s">
        <v>342</v>
      </c>
      <c r="E444" t="b">
        <v>1</v>
      </c>
      <c r="F444" t="b">
        <v>1</v>
      </c>
      <c r="G444" t="s">
        <v>529</v>
      </c>
      <c r="H444" t="b">
        <v>0</v>
      </c>
      <c r="I444" t="b">
        <v>0</v>
      </c>
      <c r="J444" t="s">
        <v>1090</v>
      </c>
      <c r="K444">
        <v>0</v>
      </c>
      <c r="M444" t="s">
        <v>627</v>
      </c>
      <c r="Q444">
        <v>0</v>
      </c>
      <c r="R444">
        <v>0</v>
      </c>
      <c r="S444" t="b">
        <v>0</v>
      </c>
      <c r="T444" t="b">
        <f t="shared" si="20"/>
        <v>0</v>
      </c>
      <c r="U444" t="b">
        <f t="shared" si="21"/>
        <v>1</v>
      </c>
      <c r="V444" t="b">
        <f t="shared" si="22"/>
        <v>0</v>
      </c>
      <c r="W444" t="b">
        <f t="shared" si="23"/>
        <v>0</v>
      </c>
      <c r="X444" t="s">
        <v>920</v>
      </c>
    </row>
    <row r="445" spans="1:24" x14ac:dyDescent="0.25">
      <c r="A445">
        <v>1</v>
      </c>
      <c r="B445" t="s">
        <v>26</v>
      </c>
      <c r="C445">
        <v>37704762</v>
      </c>
      <c r="D445" t="s">
        <v>221</v>
      </c>
      <c r="E445" t="b">
        <v>1</v>
      </c>
      <c r="F445" t="b">
        <v>1</v>
      </c>
      <c r="G445" t="s">
        <v>528</v>
      </c>
      <c r="H445" t="b">
        <v>0</v>
      </c>
      <c r="I445" t="b">
        <v>0</v>
      </c>
      <c r="J445" t="s">
        <v>1090</v>
      </c>
      <c r="K445">
        <v>1</v>
      </c>
      <c r="M445" t="s">
        <v>614</v>
      </c>
      <c r="O445" t="s">
        <v>1081</v>
      </c>
      <c r="Q445">
        <v>0</v>
      </c>
      <c r="R445">
        <v>0</v>
      </c>
      <c r="S445" t="b">
        <v>0</v>
      </c>
      <c r="T445" t="b">
        <f t="shared" si="20"/>
        <v>0</v>
      </c>
      <c r="U445" t="b">
        <f t="shared" si="21"/>
        <v>1</v>
      </c>
      <c r="V445" t="b">
        <f t="shared" si="22"/>
        <v>0</v>
      </c>
      <c r="W445" t="b">
        <f t="shared" si="23"/>
        <v>0</v>
      </c>
      <c r="X445" t="s">
        <v>919</v>
      </c>
    </row>
  </sheetData>
  <sortState xmlns:xlrd2="http://schemas.microsoft.com/office/spreadsheetml/2017/richdata2" ref="A2:X445">
    <sortCondition ref="A2:A445"/>
    <sortCondition ref="C2:C445"/>
    <sortCondition ref="B2:B445"/>
    <sortCondition ref="D2:D445"/>
  </sortState>
  <conditionalFormatting sqref="V85:V445">
    <cfRule type="cellIs" dxfId="0" priority="1" operator="equal">
      <formula>TRUE</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akg tracking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David Kinna</cp:lastModifiedBy>
  <dcterms:created xsi:type="dcterms:W3CDTF">2025-08-29T21:05:38Z</dcterms:created>
  <dcterms:modified xsi:type="dcterms:W3CDTF">2025-08-31T18:52:02Z</dcterms:modified>
</cp:coreProperties>
</file>